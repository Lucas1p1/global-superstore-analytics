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Sales Analysis" sheetId="3" state="visible" r:id="rId3"/>
    <sheet xmlns:r="http://schemas.openxmlformats.org/officeDocument/2006/relationships" name="Profitability Analysis" sheetId="4" state="visible" r:id="rId4"/>
    <sheet xmlns:r="http://schemas.openxmlformats.org/officeDocument/2006/relationships" name="Advanced Formulas" sheetId="5" state="visible" r:id="rId5"/>
    <sheet xmlns:r="http://schemas.openxmlformats.org/officeDocument/2006/relationships" name="Instructions" sheetId="6" state="visible" r:id="rId6"/>
  </sheets>
  <definedNames>
    <definedName name="_xlnm._FilterDatabase" localSheetId="0" hidden="1">'Raw Data'!$A$1:$AA$51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0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164" fontId="0" fillId="0" borderId="0" pivotButton="0" quotePrefix="0" xfId="0"/>
    <xf numFmtId="0" fontId="2" fillId="3" borderId="0" applyAlignment="1" pivotButton="0" quotePrefix="0" xfId="0">
      <alignment horizontal="center"/>
    </xf>
    <xf numFmtId="1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7109375" customWidth="1" min="1" max="1"/>
    <col width="16.7109375" customWidth="1" min="2" max="2"/>
    <col width="12.7109375" customWidth="1" min="3" max="4"/>
    <col width="14.7109375" customWidth="1" min="5" max="7"/>
    <col width="12.7109375" customWidth="1" min="8" max="13"/>
    <col width="18.7109375" customWidth="1" min="14" max="17"/>
    <col width="10.7109375" customWidth="1" min="18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 Year</t>
        </is>
      </c>
      <c r="W1" s="1" t="inlineStr">
        <is>
          <t>Order Month</t>
        </is>
      </c>
      <c r="X1" s="1" t="inlineStr">
        <is>
          <t>Order Quarter</t>
        </is>
      </c>
      <c r="Y1" s="1" t="inlineStr">
        <is>
          <t>Ship Days</t>
        </is>
      </c>
      <c r="Z1" s="1" t="inlineStr">
        <is>
          <t>Profit Margin</t>
        </is>
      </c>
      <c r="AA1" s="1" t="inlineStr">
        <is>
          <t>Revenue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s="2" t="n">
        <v>261.96</v>
      </c>
      <c r="S2" t="n">
        <v>2</v>
      </c>
      <c r="T2" t="n">
        <v>0</v>
      </c>
      <c r="U2" s="2" t="n">
        <v>41.9136</v>
      </c>
      <c r="V2" t="n">
        <v>2016</v>
      </c>
      <c r="W2" t="n">
        <v>11</v>
      </c>
      <c r="X2" t="n">
        <v>4</v>
      </c>
      <c r="Y2" t="n">
        <v>3</v>
      </c>
      <c r="Z2" t="n">
        <v>16</v>
      </c>
      <c r="AA2" t="n">
        <v>261.96</v>
      </c>
    </row>
    <row r="3">
      <c r="A3" t="n">
        <v>2</v>
      </c>
      <c r="B3" t="inlineStr">
        <is>
          <t>CA-2016-152156</t>
        </is>
      </c>
      <c r="C3" t="inlineStr">
        <is>
          <t>2016-11-08</t>
        </is>
      </c>
      <c r="D3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</t>
        </is>
      </c>
      <c r="R3" s="2" t="n">
        <v>731.9400000000001</v>
      </c>
      <c r="S3" t="n">
        <v>3</v>
      </c>
      <c r="T3" t="n">
        <v>0</v>
      </c>
      <c r="U3" s="2" t="n">
        <v>219.582</v>
      </c>
      <c r="V3" t="n">
        <v>2016</v>
      </c>
      <c r="W3" t="n">
        <v>11</v>
      </c>
      <c r="X3" t="n">
        <v>4</v>
      </c>
      <c r="Y3" t="n">
        <v>3</v>
      </c>
      <c r="Z3" t="n">
        <v>30</v>
      </c>
      <c r="AA3" t="n">
        <v>731.9400000000001</v>
      </c>
    </row>
    <row r="4">
      <c r="A4" t="n">
        <v>3</v>
      </c>
      <c r="B4" t="inlineStr">
        <is>
          <t>CA-2016-138688</t>
        </is>
      </c>
      <c r="C4" t="inlineStr">
        <is>
          <t>2016-06-12</t>
        </is>
      </c>
      <c r="D4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s="2" t="n">
        <v>14.62</v>
      </c>
      <c r="S4" t="n">
        <v>2</v>
      </c>
      <c r="T4" t="n">
        <v>0</v>
      </c>
      <c r="U4" s="2" t="n">
        <v>6.8714</v>
      </c>
      <c r="V4" t="n">
        <v>2016</v>
      </c>
      <c r="W4" t="n">
        <v>6</v>
      </c>
      <c r="X4" t="n">
        <v>2</v>
      </c>
      <c r="Y4" t="n">
        <v>4</v>
      </c>
      <c r="Z4" t="n">
        <v>47</v>
      </c>
      <c r="AA4" t="n">
        <v>14.62</v>
      </c>
    </row>
    <row r="5">
      <c r="A5" t="n">
        <v>4</v>
      </c>
      <c r="B5" t="inlineStr">
        <is>
          <t>US-2015-108966</t>
        </is>
      </c>
      <c r="C5" t="inlineStr">
        <is>
          <t>2015-10-11</t>
        </is>
      </c>
      <c r="D5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s="2" t="n">
        <v>957.5775</v>
      </c>
      <c r="S5" t="n">
        <v>5</v>
      </c>
      <c r="T5" t="n">
        <v>0.45</v>
      </c>
      <c r="U5" s="2" t="n">
        <v>-383.031</v>
      </c>
      <c r="V5" t="n">
        <v>2015</v>
      </c>
      <c r="W5" t="n">
        <v>10</v>
      </c>
      <c r="X5" t="n">
        <v>4</v>
      </c>
      <c r="Y5" t="n">
        <v>7</v>
      </c>
      <c r="Z5" t="n">
        <v>-40</v>
      </c>
      <c r="AA5" t="n">
        <v>957.5775</v>
      </c>
    </row>
    <row r="6">
      <c r="A6" t="n">
        <v>5</v>
      </c>
      <c r="B6" t="inlineStr">
        <is>
          <t>US-2015-108966</t>
        </is>
      </c>
      <c r="C6" t="inlineStr">
        <is>
          <t>2015-10-11</t>
        </is>
      </c>
      <c r="D6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s="2" t="n">
        <v>22.368</v>
      </c>
      <c r="S6" t="n">
        <v>2</v>
      </c>
      <c r="T6" t="n">
        <v>0.2</v>
      </c>
      <c r="U6" s="2" t="n">
        <v>2.5164</v>
      </c>
      <c r="V6" t="n">
        <v>2015</v>
      </c>
      <c r="W6" t="n">
        <v>10</v>
      </c>
      <c r="X6" t="n">
        <v>4</v>
      </c>
      <c r="Y6" t="n">
        <v>7</v>
      </c>
      <c r="Z6" t="n">
        <v>11.25</v>
      </c>
      <c r="AA6" t="n">
        <v>22.368</v>
      </c>
    </row>
    <row r="7">
      <c r="A7" t="n">
        <v>6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 Mahogany</t>
        </is>
      </c>
      <c r="R7" s="2" t="n">
        <v>48.86</v>
      </c>
      <c r="S7" t="n">
        <v>7</v>
      </c>
      <c r="T7" t="n">
        <v>0</v>
      </c>
      <c r="U7" s="2" t="n">
        <v>14.1694</v>
      </c>
      <c r="V7" t="n">
        <v>2014</v>
      </c>
      <c r="W7" t="n">
        <v>6</v>
      </c>
      <c r="X7" t="n">
        <v>2</v>
      </c>
      <c r="Y7" t="n">
        <v>5</v>
      </c>
      <c r="Z7" t="n">
        <v>29</v>
      </c>
      <c r="AA7" t="n">
        <v>48.86</v>
      </c>
    </row>
    <row r="8">
      <c r="A8" t="n">
        <v>7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s="2" t="n">
        <v>7.28</v>
      </c>
      <c r="S8" t="n">
        <v>4</v>
      </c>
      <c r="T8" t="n">
        <v>0</v>
      </c>
      <c r="U8" s="2" t="n">
        <v>1.9656</v>
      </c>
      <c r="V8" t="n">
        <v>2014</v>
      </c>
      <c r="W8" t="n">
        <v>6</v>
      </c>
      <c r="X8" t="n">
        <v>2</v>
      </c>
      <c r="Y8" t="n">
        <v>5</v>
      </c>
      <c r="Z8" t="n">
        <v>27</v>
      </c>
      <c r="AA8" t="n">
        <v>7.28</v>
      </c>
    </row>
    <row r="9">
      <c r="A9" t="n">
        <v>8</v>
      </c>
      <c r="B9" t="inlineStr">
        <is>
          <t>CA-2014-115812</t>
        </is>
      </c>
      <c r="C9" t="inlineStr">
        <is>
          <t>2014-06-09</t>
        </is>
      </c>
      <c r="D9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s="2" t="n">
        <v>907.152</v>
      </c>
      <c r="S9" t="n">
        <v>6</v>
      </c>
      <c r="T9" t="n">
        <v>0.2</v>
      </c>
      <c r="U9" s="2" t="n">
        <v>90.7152</v>
      </c>
      <c r="V9" t="n">
        <v>2014</v>
      </c>
      <c r="W9" t="n">
        <v>6</v>
      </c>
      <c r="X9" t="n">
        <v>2</v>
      </c>
      <c r="Y9" t="n">
        <v>5</v>
      </c>
      <c r="Z9" t="n">
        <v>10</v>
      </c>
      <c r="AA9" t="n">
        <v>907.152</v>
      </c>
    </row>
    <row r="10">
      <c r="A10" t="n">
        <v>9</v>
      </c>
      <c r="B10" t="inlineStr">
        <is>
          <t>CA-2014-112326</t>
        </is>
      </c>
      <c r="C10" t="inlineStr">
        <is>
          <t>2014-09-07</t>
        </is>
      </c>
      <c r="D10" t="inlineStr">
        <is>
          <t>2014-09-11</t>
        </is>
      </c>
      <c r="E10" t="inlineStr">
        <is>
          <t>Standard Class</t>
        </is>
      </c>
      <c r="F10" t="inlineStr">
        <is>
          <t>AA-10480</t>
        </is>
      </c>
      <c r="G10" t="inlineStr">
        <is>
          <t>Andrew Allen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Concord</t>
        </is>
      </c>
      <c r="K10" t="inlineStr">
        <is>
          <t>North Carolina</t>
        </is>
      </c>
      <c r="L10" t="inlineStr">
        <is>
          <t>28027</t>
        </is>
      </c>
      <c r="M10" t="inlineStr">
        <is>
          <t>South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s="2" t="n">
        <v>18.504</v>
      </c>
      <c r="S10" t="n">
        <v>3</v>
      </c>
      <c r="T10" t="n">
        <v>0.2</v>
      </c>
      <c r="U10" s="2" t="n">
        <v>5.7825</v>
      </c>
      <c r="V10" t="n">
        <v>2014</v>
      </c>
      <c r="W10" t="n">
        <v>9</v>
      </c>
      <c r="X10" t="n">
        <v>3</v>
      </c>
      <c r="Y10" t="n">
        <v>4</v>
      </c>
      <c r="Z10" t="n">
        <v>31.25</v>
      </c>
      <c r="AA10" t="n">
        <v>18.504</v>
      </c>
    </row>
    <row r="11">
      <c r="A11" t="n">
        <v>10</v>
      </c>
      <c r="B11" t="inlineStr">
        <is>
          <t>US-2016-112326</t>
        </is>
      </c>
      <c r="C11" t="inlineStr">
        <is>
          <t>2016-06-17</t>
        </is>
      </c>
      <c r="D11" t="inlineStr">
        <is>
          <t>2016-06-22</t>
        </is>
      </c>
      <c r="E11" t="inlineStr">
        <is>
          <t>Standard Class</t>
        </is>
      </c>
      <c r="F11" t="inlineStr">
        <is>
          <t>IM-15070</t>
        </is>
      </c>
      <c r="G11" t="inlineStr">
        <is>
          <t>Irene Maddox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Seattle</t>
        </is>
      </c>
      <c r="K11" t="inlineStr">
        <is>
          <t>Washington</t>
        </is>
      </c>
      <c r="L11" t="inlineStr">
        <is>
          <t>98103</t>
        </is>
      </c>
      <c r="M11" t="inlineStr">
        <is>
          <t>West</t>
        </is>
      </c>
      <c r="N11" t="inlineStr">
        <is>
          <t>OFF-AP-10002311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Hoover Replacement Belt for Commercial Guardsman Heavy-Duty Upright Vacuum</t>
        </is>
      </c>
      <c r="R11" s="2" t="n">
        <v>114.9</v>
      </c>
      <c r="S11" t="n">
        <v>5</v>
      </c>
      <c r="T11" t="n">
        <v>0</v>
      </c>
      <c r="U11" s="2" t="n">
        <v>34.47</v>
      </c>
      <c r="V11" t="n">
        <v>2016</v>
      </c>
      <c r="W11" t="n">
        <v>6</v>
      </c>
      <c r="X11" t="n">
        <v>2</v>
      </c>
      <c r="Y11" t="n">
        <v>5</v>
      </c>
      <c r="Z11" t="n">
        <v>30</v>
      </c>
      <c r="AA11" t="n">
        <v>114.9</v>
      </c>
    </row>
    <row r="12">
      <c r="A12" t="n">
        <v>11</v>
      </c>
      <c r="B12" t="inlineStr">
        <is>
          <t>CA-2015-135545</t>
        </is>
      </c>
      <c r="C12" t="inlineStr">
        <is>
          <t>2015-01-21</t>
        </is>
      </c>
      <c r="D12" t="inlineStr">
        <is>
          <t>2015-01-23</t>
        </is>
      </c>
      <c r="E12" t="inlineStr">
        <is>
          <t>Second Class</t>
        </is>
      </c>
      <c r="F12" t="inlineStr">
        <is>
          <t>DP-13000</t>
        </is>
      </c>
      <c r="G12" t="inlineStr">
        <is>
          <t>Darren Powers</t>
        </is>
      </c>
      <c r="H12" t="inlineStr">
        <is>
          <t>Consumer</t>
        </is>
      </c>
      <c r="I12" t="inlineStr">
        <is>
          <t>Canada</t>
        </is>
      </c>
      <c r="J12" t="inlineStr">
        <is>
          <t>Oshawa</t>
        </is>
      </c>
      <c r="K12" t="inlineStr">
        <is>
          <t>Ontario</t>
        </is>
      </c>
      <c r="L12" t="inlineStr">
        <is>
          <t>L1H</t>
        </is>
      </c>
      <c r="M12" t="inlineStr">
        <is>
          <t>Central</t>
        </is>
      </c>
      <c r="N12" t="inlineStr">
        <is>
          <t>TEC-AC-10003027</t>
        </is>
      </c>
      <c r="O12" t="inlineStr">
        <is>
          <t>Technology</t>
        </is>
      </c>
      <c r="P12" t="inlineStr">
        <is>
          <t>Accessories</t>
        </is>
      </c>
      <c r="Q12" t="inlineStr">
        <is>
          <t>Verbatim 25 GB 6x Blu-ray Single-Layer Recordable Disc 25-Pack Spindle</t>
        </is>
      </c>
      <c r="R12" s="2" t="n">
        <v>71.372</v>
      </c>
      <c r="S12" t="n">
        <v>3</v>
      </c>
      <c r="T12" t="n">
        <v>0.2</v>
      </c>
      <c r="U12" s="2" t="n">
        <v>1.0496</v>
      </c>
      <c r="V12" t="n">
        <v>2015</v>
      </c>
      <c r="W12" t="n">
        <v>1</v>
      </c>
      <c r="X12" t="n">
        <v>1</v>
      </c>
      <c r="Y12" t="n">
        <v>2</v>
      </c>
      <c r="Z12" t="n">
        <v>1.47</v>
      </c>
      <c r="AA12" t="n">
        <v>71.372</v>
      </c>
    </row>
    <row r="13">
      <c r="A13" t="n">
        <v>12</v>
      </c>
      <c r="B13" t="inlineStr">
        <is>
          <t>CA-2016-105893</t>
        </is>
      </c>
      <c r="C13" t="inlineStr">
        <is>
          <t>2016-11-11</t>
        </is>
      </c>
      <c r="D13" t="inlineStr">
        <is>
          <t>2016-11-15</t>
        </is>
      </c>
      <c r="E13" t="inlineStr">
        <is>
          <t>Standard Class</t>
        </is>
      </c>
      <c r="F13" t="inlineStr">
        <is>
          <t>KH-16510</t>
        </is>
      </c>
      <c r="G13" t="inlineStr">
        <is>
          <t>Ken Heidel</t>
        </is>
      </c>
      <c r="H13" t="inlineStr">
        <is>
          <t>Home Office</t>
        </is>
      </c>
      <c r="I13" t="inlineStr">
        <is>
          <t>United States</t>
        </is>
      </c>
      <c r="J13" t="inlineStr">
        <is>
          <t>Portland</t>
        </is>
      </c>
      <c r="K13" t="inlineStr">
        <is>
          <t>Oregon</t>
        </is>
      </c>
      <c r="L13" t="inlineStr">
        <is>
          <t>97206</t>
        </is>
      </c>
      <c r="M13" t="inlineStr">
        <is>
          <t>West</t>
        </is>
      </c>
      <c r="N13" t="inlineStr">
        <is>
          <t>OFF-PA-10004041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1967</t>
        </is>
      </c>
      <c r="R13" s="2" t="n">
        <v>15.552</v>
      </c>
      <c r="S13" t="n">
        <v>3</v>
      </c>
      <c r="T13" t="n">
        <v>0.2</v>
      </c>
      <c r="U13" s="2" t="n">
        <v>5.4432</v>
      </c>
      <c r="V13" t="n">
        <v>2016</v>
      </c>
      <c r="W13" t="n">
        <v>11</v>
      </c>
      <c r="X13" t="n">
        <v>4</v>
      </c>
      <c r="Y13" t="n">
        <v>4</v>
      </c>
      <c r="Z13" t="n">
        <v>35</v>
      </c>
      <c r="AA13" t="n">
        <v>15.552</v>
      </c>
    </row>
    <row r="14">
      <c r="A14" t="n">
        <v>13</v>
      </c>
      <c r="B14" t="inlineStr">
        <is>
          <t>CA-2016-167164</t>
        </is>
      </c>
      <c r="C14" t="inlineStr">
        <is>
          <t>2016-05-13</t>
        </is>
      </c>
      <c r="D14" t="inlineStr">
        <is>
          <t>2016-05-15</t>
        </is>
      </c>
      <c r="E14" t="inlineStr">
        <is>
          <t>Second Class</t>
        </is>
      </c>
      <c r="F14" t="inlineStr">
        <is>
          <t>SF-20065</t>
        </is>
      </c>
      <c r="G14" t="inlineStr">
        <is>
          <t>Shirley Floyd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Chicago</t>
        </is>
      </c>
      <c r="K14" t="inlineStr">
        <is>
          <t>Illinois</t>
        </is>
      </c>
      <c r="L14" t="inlineStr">
        <is>
          <t>60629</t>
        </is>
      </c>
      <c r="M14" t="inlineStr">
        <is>
          <t>Central</t>
        </is>
      </c>
      <c r="N14" t="inlineStr">
        <is>
          <t>OFF-EN-10001509</t>
        </is>
      </c>
      <c r="O14" t="inlineStr">
        <is>
          <t>Office Supplies</t>
        </is>
      </c>
      <c r="P14" t="inlineStr">
        <is>
          <t>Envelopes</t>
        </is>
      </c>
      <c r="Q14" t="inlineStr">
        <is>
          <t>Poly String Tie Envelopes</t>
        </is>
      </c>
      <c r="R14" s="2" t="n">
        <v>42.48</v>
      </c>
      <c r="S14" t="n">
        <v>2</v>
      </c>
      <c r="T14" t="n">
        <v>0.2</v>
      </c>
      <c r="U14" s="2" t="n">
        <v>13.9944</v>
      </c>
      <c r="V14" t="n">
        <v>2016</v>
      </c>
      <c r="W14" t="n">
        <v>5</v>
      </c>
      <c r="X14" t="n">
        <v>2</v>
      </c>
      <c r="Y14" t="n">
        <v>2</v>
      </c>
      <c r="Z14" t="n">
        <v>32.94</v>
      </c>
      <c r="AA14" t="n">
        <v>42.48</v>
      </c>
    </row>
    <row r="15">
      <c r="A15" t="n">
        <v>14</v>
      </c>
      <c r="B15" t="inlineStr">
        <is>
          <t>CA-2016-143259</t>
        </is>
      </c>
      <c r="C15" t="inlineStr">
        <is>
          <t>2016-08-27</t>
        </is>
      </c>
      <c r="D15" t="inlineStr">
        <is>
          <t>2016-09-01</t>
        </is>
      </c>
      <c r="E15" t="inlineStr">
        <is>
          <t>Standard Class</t>
        </is>
      </c>
      <c r="F15" t="inlineStr">
        <is>
          <t>GT-14710</t>
        </is>
      </c>
      <c r="G15" t="inlineStr">
        <is>
          <t>Guy Thornton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New York City</t>
        </is>
      </c>
      <c r="K15" t="inlineStr">
        <is>
          <t>New York</t>
        </is>
      </c>
      <c r="L15" t="inlineStr">
        <is>
          <t>10024</t>
        </is>
      </c>
      <c r="M15" t="inlineStr">
        <is>
          <t>East</t>
        </is>
      </c>
      <c r="N15" t="inlineStr">
        <is>
          <t>OFF-BI-10000756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Angle-D Binders with Locking Rings Label Holders</t>
        </is>
      </c>
      <c r="R15" s="2" t="n">
        <v>15.76</v>
      </c>
      <c r="S15" t="n">
        <v>2</v>
      </c>
      <c r="T15" t="n">
        <v>0</v>
      </c>
      <c r="U15" s="2" t="n">
        <v>3.94</v>
      </c>
      <c r="V15" t="n">
        <v>2016</v>
      </c>
      <c r="W15" t="n">
        <v>8</v>
      </c>
      <c r="X15" t="n">
        <v>3</v>
      </c>
      <c r="Y15" t="n">
        <v>5</v>
      </c>
      <c r="Z15" t="n">
        <v>25</v>
      </c>
      <c r="AA15" t="n">
        <v>15.76</v>
      </c>
    </row>
    <row r="16">
      <c r="A16" t="n">
        <v>15</v>
      </c>
      <c r="B16" t="inlineStr">
        <is>
          <t>CA-2015-135545</t>
        </is>
      </c>
      <c r="C16" t="inlineStr">
        <is>
          <t>2015-01-21</t>
        </is>
      </c>
      <c r="D16" t="inlineStr">
        <is>
          <t>2015-01-26</t>
        </is>
      </c>
      <c r="E16" t="inlineStr">
        <is>
          <t>Second Class</t>
        </is>
      </c>
      <c r="F16" t="inlineStr">
        <is>
          <t>DP-13000</t>
        </is>
      </c>
      <c r="G16" t="inlineStr">
        <is>
          <t>Darren Powers</t>
        </is>
      </c>
      <c r="H16" t="inlineStr">
        <is>
          <t>Consumer</t>
        </is>
      </c>
      <c r="I16" t="inlineStr">
        <is>
          <t>Canada</t>
        </is>
      </c>
      <c r="J16" t="inlineStr">
        <is>
          <t>Oshawa</t>
        </is>
      </c>
      <c r="K16" t="inlineStr">
        <is>
          <t>Ontario</t>
        </is>
      </c>
      <c r="L16" t="inlineStr">
        <is>
          <t>L1H</t>
        </is>
      </c>
      <c r="M16" t="inlineStr">
        <is>
          <t>Central</t>
        </is>
      </c>
      <c r="N16" t="inlineStr">
        <is>
          <t>OFF-LA-10003216</t>
        </is>
      </c>
      <c r="O16" t="inlineStr">
        <is>
          <t>Office Supplies</t>
        </is>
      </c>
      <c r="P16" t="inlineStr">
        <is>
          <t>Labels</t>
        </is>
      </c>
      <c r="Q16" t="inlineStr">
        <is>
          <t>Avery 508</t>
        </is>
      </c>
      <c r="R16" s="2" t="n">
        <v>208.16</v>
      </c>
      <c r="S16" t="n">
        <v>2</v>
      </c>
      <c r="T16" t="n">
        <v>0.2</v>
      </c>
      <c r="U16" s="2" t="n">
        <v>68.69280000000001</v>
      </c>
      <c r="V16" t="n">
        <v>2015</v>
      </c>
      <c r="W16" t="n">
        <v>1</v>
      </c>
      <c r="X16" t="n">
        <v>1</v>
      </c>
      <c r="Y16" t="n">
        <v>5</v>
      </c>
      <c r="Z16" t="n">
        <v>33</v>
      </c>
      <c r="AA16" t="n">
        <v>208.16</v>
      </c>
    </row>
    <row r="17">
      <c r="A17" t="n">
        <v>16</v>
      </c>
      <c r="B17" t="inlineStr">
        <is>
          <t>US-2016-150630</t>
        </is>
      </c>
      <c r="C17" t="inlineStr">
        <is>
          <t>2016-09-17</t>
        </is>
      </c>
      <c r="D17" t="inlineStr">
        <is>
          <t>2016-09-21</t>
        </is>
      </c>
      <c r="E17" t="inlineStr">
        <is>
          <t>Standard Class</t>
        </is>
      </c>
      <c r="F17" t="inlineStr">
        <is>
          <t>SF-19960</t>
        </is>
      </c>
      <c r="G17" t="inlineStr">
        <is>
          <t>Sonia Freeburn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Philadelphia</t>
        </is>
      </c>
      <c r="K17" t="inlineStr">
        <is>
          <t>Pennsylvania</t>
        </is>
      </c>
      <c r="L17" t="inlineStr">
        <is>
          <t>19120</t>
        </is>
      </c>
      <c r="M17" t="inlineStr">
        <is>
          <t>East</t>
        </is>
      </c>
      <c r="N17" t="inlineStr">
        <is>
          <t>TEC-PH-10004093</t>
        </is>
      </c>
      <c r="O17" t="inlineStr">
        <is>
          <t>Technology</t>
        </is>
      </c>
      <c r="P17" t="inlineStr">
        <is>
          <t>Phones</t>
        </is>
      </c>
      <c r="Q17" t="inlineStr">
        <is>
          <t>Cisco SPA 501G IP Phone</t>
        </is>
      </c>
      <c r="R17" s="2" t="n">
        <v>911.424</v>
      </c>
      <c r="S17" t="n">
        <v>4</v>
      </c>
      <c r="T17" t="n">
        <v>0.2</v>
      </c>
      <c r="U17" s="2" t="n">
        <v>68.35680000000001</v>
      </c>
      <c r="V17" t="n">
        <v>2016</v>
      </c>
      <c r="W17" t="n">
        <v>9</v>
      </c>
      <c r="X17" t="n">
        <v>3</v>
      </c>
      <c r="Y17" t="n">
        <v>4</v>
      </c>
      <c r="Z17" t="n">
        <v>7.5</v>
      </c>
      <c r="AA17" t="n">
        <v>911.424</v>
      </c>
    </row>
    <row r="18">
      <c r="A18" t="n">
        <v>17</v>
      </c>
      <c r="B18" t="inlineStr">
        <is>
          <t>CA-2014-161459</t>
        </is>
      </c>
      <c r="C18" t="inlineStr">
        <is>
          <t>2014-03-05</t>
        </is>
      </c>
      <c r="D18" t="inlineStr">
        <is>
          <t>2014-03-10</t>
        </is>
      </c>
      <c r="E18" t="inlineStr">
        <is>
          <t>Standard Class</t>
        </is>
      </c>
      <c r="F18" t="inlineStr">
        <is>
          <t>CC-12370</t>
        </is>
      </c>
      <c r="G18" t="inlineStr">
        <is>
          <t>Christopher Conant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Minneapolis</t>
        </is>
      </c>
      <c r="K18" t="inlineStr">
        <is>
          <t>Minnesota</t>
        </is>
      </c>
      <c r="L18" t="inlineStr">
        <is>
          <t>55407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Fellowes PB500 Electric Punch Plastic Comb Binding Machine with Manual Bind</t>
        </is>
      </c>
      <c r="R18" s="2" t="n">
        <v>189.98</v>
      </c>
      <c r="S18" t="n">
        <v>3</v>
      </c>
      <c r="T18" t="n">
        <v>0.2</v>
      </c>
      <c r="U18" s="2" t="n">
        <v>3.7996</v>
      </c>
      <c r="V18" t="n">
        <v>2014</v>
      </c>
      <c r="W18" t="n">
        <v>3</v>
      </c>
      <c r="X18" t="n">
        <v>1</v>
      </c>
      <c r="Y18" t="n">
        <v>5</v>
      </c>
      <c r="Z18" t="n">
        <v>2</v>
      </c>
      <c r="AA18" t="n">
        <v>189.98</v>
      </c>
    </row>
    <row r="19">
      <c r="A19" t="n">
        <v>18</v>
      </c>
      <c r="B19" t="inlineStr">
        <is>
          <t>CA-2015-118383</t>
        </is>
      </c>
      <c r="C19" t="inlineStr">
        <is>
          <t>2015-11-22</t>
        </is>
      </c>
      <c r="D19" t="inlineStr">
        <is>
          <t>2015-11-26</t>
        </is>
      </c>
      <c r="E19" t="inlineStr">
        <is>
          <t>Standard Class</t>
        </is>
      </c>
      <c r="F19" t="inlineStr">
        <is>
          <t>AT-10195</t>
        </is>
      </c>
      <c r="G19" t="inlineStr">
        <is>
          <t>Andrew Tennant</t>
        </is>
      </c>
      <c r="H19" t="inlineStr">
        <is>
          <t>Home Office</t>
        </is>
      </c>
      <c r="I19" t="inlineStr">
        <is>
          <t>Australia</t>
        </is>
      </c>
      <c r="J19" t="inlineStr">
        <is>
          <t>Wagga Wagga</t>
        </is>
      </c>
      <c r="K19" t="inlineStr">
        <is>
          <t>New South Wales</t>
        </is>
      </c>
      <c r="L19" t="inlineStr">
        <is>
          <t>2650</t>
        </is>
      </c>
      <c r="M19" t="inlineStr">
        <is>
          <t>Oceania</t>
        </is>
      </c>
      <c r="N19" t="inlineStr">
        <is>
          <t>OFF-FA-10000304</t>
        </is>
      </c>
      <c r="O19" t="inlineStr">
        <is>
          <t>Office Supplies</t>
        </is>
      </c>
      <c r="P19" t="inlineStr">
        <is>
          <t>Fasteners</t>
        </is>
      </c>
      <c r="Q19" t="inlineStr">
        <is>
          <t>Advantus Push Pins</t>
        </is>
      </c>
      <c r="R19" s="2" t="n">
        <v>7.14</v>
      </c>
      <c r="S19" t="n">
        <v>3</v>
      </c>
      <c r="T19" t="n">
        <v>0.2</v>
      </c>
      <c r="U19" s="2" t="n">
        <v>3.1416</v>
      </c>
      <c r="V19" t="n">
        <v>2015</v>
      </c>
      <c r="W19" t="n">
        <v>11</v>
      </c>
      <c r="X19" t="n">
        <v>4</v>
      </c>
      <c r="Y19" t="n">
        <v>4</v>
      </c>
      <c r="Z19" t="n">
        <v>44</v>
      </c>
      <c r="AA19" t="n">
        <v>7.14</v>
      </c>
    </row>
    <row r="20">
      <c r="A20" t="n">
        <v>19</v>
      </c>
      <c r="B20" t="inlineStr">
        <is>
          <t>US-2015-118983</t>
        </is>
      </c>
      <c r="C20" t="inlineStr">
        <is>
          <t>2015-11-22</t>
        </is>
      </c>
      <c r="D20" t="inlineStr">
        <is>
          <t>2015-11-26</t>
        </is>
      </c>
      <c r="E20" t="inlineStr">
        <is>
          <t>Standard Class</t>
        </is>
      </c>
      <c r="F20" t="inlineStr">
        <is>
          <t>IM-15070</t>
        </is>
      </c>
      <c r="G20" t="inlineStr">
        <is>
          <t>Irene Maddox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Seattle</t>
        </is>
      </c>
      <c r="K20" t="inlineStr">
        <is>
          <t>Washington</t>
        </is>
      </c>
      <c r="L20" t="inlineStr">
        <is>
          <t>98103</t>
        </is>
      </c>
      <c r="M20" t="inlineStr">
        <is>
          <t>West</t>
        </is>
      </c>
      <c r="N20" t="inlineStr">
        <is>
          <t>OFF-ST-10000107</t>
        </is>
      </c>
      <c r="O20" t="inlineStr">
        <is>
          <t>Office Supplies</t>
        </is>
      </c>
      <c r="P20" t="inlineStr">
        <is>
          <t>Storage</t>
        </is>
      </c>
      <c r="Q20" t="inlineStr">
        <is>
          <t>Fellowes Super Stor/Drawer Steel Frame Files Letter Size</t>
        </is>
      </c>
      <c r="R20" s="2" t="n">
        <v>113.97</v>
      </c>
      <c r="S20" t="n">
        <v>3</v>
      </c>
      <c r="T20" t="n">
        <v>0</v>
      </c>
      <c r="U20" s="2" t="n">
        <v>11.397</v>
      </c>
      <c r="V20" t="n">
        <v>2015</v>
      </c>
      <c r="W20" t="n">
        <v>11</v>
      </c>
      <c r="X20" t="n">
        <v>4</v>
      </c>
      <c r="Y20" t="n">
        <v>4</v>
      </c>
      <c r="Z20" t="n">
        <v>10</v>
      </c>
      <c r="AA20" t="n">
        <v>113.97</v>
      </c>
    </row>
    <row r="21">
      <c r="A21" t="n">
        <v>20</v>
      </c>
      <c r="B21" t="inlineStr">
        <is>
          <t>CA-2016-105816</t>
        </is>
      </c>
      <c r="C21" t="inlineStr">
        <is>
          <t>2016-01-10</t>
        </is>
      </c>
      <c r="D21" t="inlineStr">
        <is>
          <t>2016-01-16</t>
        </is>
      </c>
      <c r="E21" t="inlineStr">
        <is>
          <t>Standard Class</t>
        </is>
      </c>
      <c r="F21" t="inlineStr">
        <is>
          <t>HP-14815</t>
        </is>
      </c>
      <c r="G21" t="inlineStr">
        <is>
          <t>Henry Prytherch</t>
        </is>
      </c>
      <c r="H21" t="inlineStr">
        <is>
          <t>Consumer</t>
        </is>
      </c>
      <c r="I21" t="inlineStr">
        <is>
          <t>United Kingdom</t>
        </is>
      </c>
      <c r="J21" t="inlineStr">
        <is>
          <t>London</t>
        </is>
      </c>
      <c r="K21" t="inlineStr">
        <is>
          <t>England</t>
        </is>
      </c>
      <c r="L21" t="inlineStr">
        <is>
          <t>SW1A 1AA</t>
        </is>
      </c>
      <c r="M21" t="inlineStr">
        <is>
          <t>Europe</t>
        </is>
      </c>
      <c r="N21" t="inlineStr">
        <is>
          <t>OFF-PA-10003256</t>
        </is>
      </c>
      <c r="O21" t="inlineStr">
        <is>
          <t>Office Supplies</t>
        </is>
      </c>
      <c r="P21" t="inlineStr">
        <is>
          <t>Paper</t>
        </is>
      </c>
      <c r="Q21" t="inlineStr">
        <is>
          <t>Southworth 25% Cotton Linen Business Paper</t>
        </is>
      </c>
      <c r="R21" s="2" t="n">
        <v>31.12</v>
      </c>
      <c r="S21" t="n">
        <v>4</v>
      </c>
      <c r="T21" t="n">
        <v>0.2</v>
      </c>
      <c r="U21" s="2" t="n">
        <v>10.9592</v>
      </c>
      <c r="V21" t="n">
        <v>2016</v>
      </c>
      <c r="W21" t="n">
        <v>1</v>
      </c>
      <c r="X21" t="n">
        <v>1</v>
      </c>
      <c r="Y21" t="n">
        <v>6</v>
      </c>
      <c r="Z21" t="n">
        <v>35.22</v>
      </c>
      <c r="AA21" t="n">
        <v>31.12</v>
      </c>
    </row>
    <row r="22">
      <c r="A22" t="n">
        <v>21</v>
      </c>
      <c r="B22" t="inlineStr">
        <is>
          <t>CA-2016-167164</t>
        </is>
      </c>
      <c r="C22" t="inlineStr">
        <is>
          <t>2016-05-13</t>
        </is>
      </c>
      <c r="D22" t="inlineStr">
        <is>
          <t>2016-05-18</t>
        </is>
      </c>
      <c r="E22" t="inlineStr">
        <is>
          <t>Standard Class</t>
        </is>
      </c>
      <c r="F22" t="inlineStr">
        <is>
          <t>SF-20065</t>
        </is>
      </c>
      <c r="G22" t="inlineStr">
        <is>
          <t>Shirley Floyd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Chicago</t>
        </is>
      </c>
      <c r="K22" t="inlineStr">
        <is>
          <t>Illinois</t>
        </is>
      </c>
      <c r="L22" t="inlineStr">
        <is>
          <t>60629</t>
        </is>
      </c>
      <c r="M22" t="inlineStr">
        <is>
          <t>Central</t>
        </is>
      </c>
      <c r="N22" t="inlineStr">
        <is>
          <t>TEC-AC-10001998</t>
        </is>
      </c>
      <c r="O22" t="inlineStr">
        <is>
          <t>Technology</t>
        </is>
      </c>
      <c r="P22" t="inlineStr">
        <is>
          <t>Accessories</t>
        </is>
      </c>
      <c r="Q22" t="inlineStr">
        <is>
          <t>Plantronics SupraPlus Monaural Voice-Tube Headset</t>
        </is>
      </c>
      <c r="R22" s="2" t="n">
        <v>66.096</v>
      </c>
      <c r="S22" t="n">
        <v>3</v>
      </c>
      <c r="T22" t="n">
        <v>0.2</v>
      </c>
      <c r="U22" s="2" t="n">
        <v>7.8312</v>
      </c>
      <c r="V22" t="n">
        <v>2016</v>
      </c>
      <c r="W22" t="n">
        <v>5</v>
      </c>
      <c r="X22" t="n">
        <v>2</v>
      </c>
      <c r="Y22" t="n">
        <v>5</v>
      </c>
      <c r="Z22" t="n">
        <v>11.85</v>
      </c>
      <c r="AA22" t="n">
        <v>66.096</v>
      </c>
    </row>
    <row r="23">
      <c r="A23" t="n">
        <v>22</v>
      </c>
      <c r="B23" t="inlineStr">
        <is>
          <t>CA-2016-143259</t>
        </is>
      </c>
      <c r="C23" t="inlineStr">
        <is>
          <t>2016-08-27</t>
        </is>
      </c>
      <c r="D23" t="inlineStr">
        <is>
          <t>2016-09-01</t>
        </is>
      </c>
      <c r="E23" t="inlineStr">
        <is>
          <t>Standard Class</t>
        </is>
      </c>
      <c r="F23" t="inlineStr">
        <is>
          <t>GT-14710</t>
        </is>
      </c>
      <c r="G23" t="inlineStr">
        <is>
          <t>Guy Thornton</t>
        </is>
      </c>
      <c r="H23" t="inlineStr">
        <is>
          <t>Home Office</t>
        </is>
      </c>
      <c r="I23" t="inlineStr">
        <is>
          <t>United States</t>
        </is>
      </c>
      <c r="J23" t="inlineStr">
        <is>
          <t>New York City</t>
        </is>
      </c>
      <c r="K23" t="inlineStr">
        <is>
          <t>New York</t>
        </is>
      </c>
      <c r="L23" t="inlineStr">
        <is>
          <t>10024</t>
        </is>
      </c>
      <c r="M23" t="inlineStr">
        <is>
          <t>East</t>
        </is>
      </c>
      <c r="N23" t="inlineStr">
        <is>
          <t>OFF-BI-10004654</t>
        </is>
      </c>
      <c r="O23" t="inlineStr">
        <is>
          <t>Office Supplies</t>
        </is>
      </c>
      <c r="P23" t="inlineStr">
        <is>
          <t>Binders</t>
        </is>
      </c>
      <c r="Q23" t="inlineStr">
        <is>
          <t>Cardinal Slant-D Ring Binder Heavy-Gauge Vinyl</t>
        </is>
      </c>
      <c r="R23" s="2" t="n">
        <v>22.72</v>
      </c>
      <c r="S23" t="n">
        <v>2</v>
      </c>
      <c r="T23" t="n">
        <v>0.2</v>
      </c>
      <c r="U23" s="2" t="n">
        <v>7.384</v>
      </c>
      <c r="V23" t="n">
        <v>2016</v>
      </c>
      <c r="W23" t="n">
        <v>8</v>
      </c>
      <c r="X23" t="n">
        <v>3</v>
      </c>
      <c r="Y23" t="n">
        <v>5</v>
      </c>
      <c r="Z23" t="n">
        <v>32.5</v>
      </c>
      <c r="AA23" t="n">
        <v>22.72</v>
      </c>
    </row>
    <row r="24">
      <c r="A24" t="n">
        <v>23</v>
      </c>
      <c r="B24" t="inlineStr">
        <is>
          <t>CA-2014-119914</t>
        </is>
      </c>
      <c r="C24" t="inlineStr">
        <is>
          <t>2014-05-04</t>
        </is>
      </c>
      <c r="D24" t="inlineStr">
        <is>
          <t>2014-05-09</t>
        </is>
      </c>
      <c r="E24" t="inlineStr">
        <is>
          <t>Second Class</t>
        </is>
      </c>
      <c r="F24" t="inlineStr">
        <is>
          <t>PO-18865</t>
        </is>
      </c>
      <c r="G24" t="inlineStr">
        <is>
          <t>Paul Olivier</t>
        </is>
      </c>
      <c r="H24" t="inlineStr">
        <is>
          <t>Consumer</t>
        </is>
      </c>
      <c r="I24" t="inlineStr">
        <is>
          <t>France</t>
        </is>
      </c>
      <c r="J24" t="inlineStr">
        <is>
          <t>Paris</t>
        </is>
      </c>
      <c r="K24" t="inlineStr">
        <is>
          <t>Ile-de-France</t>
        </is>
      </c>
      <c r="L24" t="inlineStr">
        <is>
          <t>75001</t>
        </is>
      </c>
      <c r="M24" t="inlineStr">
        <is>
          <t>Europe</t>
        </is>
      </c>
      <c r="N24" t="inlineStr">
        <is>
          <t>TEC-PH-10001949</t>
        </is>
      </c>
      <c r="O24" t="inlineStr">
        <is>
          <t>Technology</t>
        </is>
      </c>
      <c r="P24" t="inlineStr">
        <is>
          <t>Phones</t>
        </is>
      </c>
      <c r="Q24" t="inlineStr">
        <is>
          <t>AT&amp;T 1856 Corded Speakerphone</t>
        </is>
      </c>
      <c r="R24" s="2" t="n">
        <v>68.81</v>
      </c>
      <c r="S24" t="n">
        <v>5</v>
      </c>
      <c r="T24" t="n">
        <v>0.2</v>
      </c>
      <c r="U24" s="2" t="n">
        <v>20.643</v>
      </c>
      <c r="V24" t="n">
        <v>2014</v>
      </c>
      <c r="W24" t="n">
        <v>5</v>
      </c>
      <c r="X24" t="n">
        <v>2</v>
      </c>
      <c r="Y24" t="n">
        <v>5</v>
      </c>
      <c r="Z24" t="n">
        <v>30</v>
      </c>
      <c r="AA24" t="n">
        <v>68.81</v>
      </c>
    </row>
    <row r="25">
      <c r="A25" t="n">
        <v>24</v>
      </c>
      <c r="B25" t="inlineStr">
        <is>
          <t>CA-2014-119914</t>
        </is>
      </c>
      <c r="C25" t="inlineStr">
        <is>
          <t>2014-05-04</t>
        </is>
      </c>
      <c r="D25" t="inlineStr">
        <is>
          <t>2014-05-09</t>
        </is>
      </c>
      <c r="E25" t="inlineStr">
        <is>
          <t>Second Class</t>
        </is>
      </c>
      <c r="F25" t="inlineStr">
        <is>
          <t>PO-18865</t>
        </is>
      </c>
      <c r="G25" t="inlineStr">
        <is>
          <t>Paul Olivier</t>
        </is>
      </c>
      <c r="H25" t="inlineStr">
        <is>
          <t>Consumer</t>
        </is>
      </c>
      <c r="I25" t="inlineStr">
        <is>
          <t>France</t>
        </is>
      </c>
      <c r="J25" t="inlineStr">
        <is>
          <t>Paris</t>
        </is>
      </c>
      <c r="K25" t="inlineStr">
        <is>
          <t>Ile-de-France</t>
        </is>
      </c>
      <c r="L25" t="inlineStr">
        <is>
          <t>75001</t>
        </is>
      </c>
      <c r="M25" t="inlineStr">
        <is>
          <t>Europe</t>
        </is>
      </c>
      <c r="N25" t="inlineStr">
        <is>
          <t>OFF-PA-10002365</t>
        </is>
      </c>
      <c r="O25" t="inlineStr">
        <is>
          <t>Office Supplies</t>
        </is>
      </c>
      <c r="P25" t="inlineStr">
        <is>
          <t>Paper</t>
        </is>
      </c>
      <c r="Q25" t="inlineStr">
        <is>
          <t>Xerox 1920</t>
        </is>
      </c>
      <c r="R25" s="2" t="n">
        <v>29.472</v>
      </c>
      <c r="S25" t="n">
        <v>6</v>
      </c>
      <c r="T25" t="n">
        <v>0.2</v>
      </c>
      <c r="U25" s="2" t="n">
        <v>13.5312</v>
      </c>
      <c r="V25" t="n">
        <v>2014</v>
      </c>
      <c r="W25" t="n">
        <v>5</v>
      </c>
      <c r="X25" t="n">
        <v>2</v>
      </c>
      <c r="Y25" t="n">
        <v>5</v>
      </c>
      <c r="Z25" t="n">
        <v>45.91</v>
      </c>
      <c r="AA25" t="n">
        <v>29.472</v>
      </c>
    </row>
    <row r="26">
      <c r="A26" t="n">
        <v>25</v>
      </c>
      <c r="B26" t="inlineStr">
        <is>
          <t>CA-2014-119914</t>
        </is>
      </c>
      <c r="C26" t="inlineStr">
        <is>
          <t>2014-05-04</t>
        </is>
      </c>
      <c r="D26" t="inlineStr">
        <is>
          <t>2014-05-09</t>
        </is>
      </c>
      <c r="E26" t="inlineStr">
        <is>
          <t>Second Class</t>
        </is>
      </c>
      <c r="F26" t="inlineStr">
        <is>
          <t>PO-18865</t>
        </is>
      </c>
      <c r="G26" t="inlineStr">
        <is>
          <t>Paul Olivier</t>
        </is>
      </c>
      <c r="H26" t="inlineStr">
        <is>
          <t>Consumer</t>
        </is>
      </c>
      <c r="I26" t="inlineStr">
        <is>
          <t>France</t>
        </is>
      </c>
      <c r="J26" t="inlineStr">
        <is>
          <t>Paris</t>
        </is>
      </c>
      <c r="K26" t="inlineStr">
        <is>
          <t>Ile-de-France</t>
        </is>
      </c>
      <c r="L26" t="inlineStr">
        <is>
          <t>75001</t>
        </is>
      </c>
      <c r="M26" t="inlineStr">
        <is>
          <t>Europe</t>
        </is>
      </c>
      <c r="N26" t="inlineStr">
        <is>
          <t>OFF-BI-10001634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GBC Instant Report Kit</t>
        </is>
      </c>
      <c r="R26" s="2" t="n">
        <v>125.99</v>
      </c>
      <c r="S26" t="n">
        <v>5</v>
      </c>
      <c r="T26" t="n">
        <v>0.2</v>
      </c>
      <c r="U26" s="2" t="n">
        <v>62.995</v>
      </c>
      <c r="V26" t="n">
        <v>2014</v>
      </c>
      <c r="W26" t="n">
        <v>5</v>
      </c>
      <c r="X26" t="n">
        <v>2</v>
      </c>
      <c r="Y26" t="n">
        <v>5</v>
      </c>
      <c r="Z26" t="n">
        <v>50</v>
      </c>
      <c r="AA26" t="n">
        <v>125.99</v>
      </c>
    </row>
    <row r="27">
      <c r="A27" t="n">
        <v>26</v>
      </c>
      <c r="B27" t="inlineStr">
        <is>
          <t>CA-2015-114412</t>
        </is>
      </c>
      <c r="C27" t="inlineStr">
        <is>
          <t>2015-04-15</t>
        </is>
      </c>
      <c r="D27" t="inlineStr">
        <is>
          <t>2015-04-20</t>
        </is>
      </c>
      <c r="E27" t="inlineStr">
        <is>
          <t>Standard Class</t>
        </is>
      </c>
      <c r="F27" t="inlineStr">
        <is>
          <t>DW-13195</t>
        </is>
      </c>
      <c r="G27" t="inlineStr">
        <is>
          <t>Duane Welch</t>
        </is>
      </c>
      <c r="H27" t="inlineStr">
        <is>
          <t>Consumer</t>
        </is>
      </c>
      <c r="I27" t="inlineStr">
        <is>
          <t>Mexico</t>
        </is>
      </c>
      <c r="J27" t="inlineStr">
        <is>
          <t>Mexico City</t>
        </is>
      </c>
      <c r="K27" t="inlineStr">
        <is>
          <t>Mexico City</t>
        </is>
      </c>
      <c r="L27" t="inlineStr">
        <is>
          <t>06600</t>
        </is>
      </c>
      <c r="M27" t="inlineStr">
        <is>
          <t>LATAM</t>
        </is>
      </c>
      <c r="N27" t="inlineStr">
        <is>
          <t>TEC-PH-10002447</t>
        </is>
      </c>
      <c r="O27" t="inlineStr">
        <is>
          <t>Technology</t>
        </is>
      </c>
      <c r="P27" t="inlineStr">
        <is>
          <t>Phones</t>
        </is>
      </c>
      <c r="Q27" t="inlineStr">
        <is>
          <t>Motorola VIP 1225 Corded Phone</t>
        </is>
      </c>
      <c r="R27" s="2" t="n">
        <v>133.768</v>
      </c>
      <c r="S27" t="n">
        <v>4</v>
      </c>
      <c r="T27" t="n">
        <v>0.2</v>
      </c>
      <c r="U27" s="2" t="n">
        <v>16.046</v>
      </c>
      <c r="V27" t="n">
        <v>2015</v>
      </c>
      <c r="W27" t="n">
        <v>4</v>
      </c>
      <c r="X27" t="n">
        <v>2</v>
      </c>
      <c r="Y27" t="n">
        <v>5</v>
      </c>
      <c r="Z27" t="n">
        <v>12</v>
      </c>
      <c r="AA27" t="n">
        <v>133.768</v>
      </c>
    </row>
    <row r="28">
      <c r="A28" t="n">
        <v>27</v>
      </c>
      <c r="B28" t="inlineStr">
        <is>
          <t>CA-2015-114412</t>
        </is>
      </c>
      <c r="C28" t="inlineStr">
        <is>
          <t>2015-04-15</t>
        </is>
      </c>
      <c r="D28" t="inlineStr">
        <is>
          <t>2015-04-20</t>
        </is>
      </c>
      <c r="E28" t="inlineStr">
        <is>
          <t>Standard Class</t>
        </is>
      </c>
      <c r="F28" t="inlineStr">
        <is>
          <t>DW-13195</t>
        </is>
      </c>
      <c r="G28" t="inlineStr">
        <is>
          <t>Duane Welch</t>
        </is>
      </c>
      <c r="H28" t="inlineStr">
        <is>
          <t>Consumer</t>
        </is>
      </c>
      <c r="I28" t="inlineStr">
        <is>
          <t>Mexico</t>
        </is>
      </c>
      <c r="J28" t="inlineStr">
        <is>
          <t>Mexico City</t>
        </is>
      </c>
      <c r="K28" t="inlineStr">
        <is>
          <t>Mexico City</t>
        </is>
      </c>
      <c r="L28" t="inlineStr">
        <is>
          <t>06600</t>
        </is>
      </c>
      <c r="M28" t="inlineStr">
        <is>
          <t>LATAM</t>
        </is>
      </c>
      <c r="N28" t="inlineStr">
        <is>
          <t>FUR-CH-10003950</t>
        </is>
      </c>
      <c r="O28" t="inlineStr">
        <is>
          <t>Furniture</t>
        </is>
      </c>
      <c r="P28" t="inlineStr">
        <is>
          <t>Chairs</t>
        </is>
      </c>
      <c r="Q28" t="inlineStr">
        <is>
          <t>Global Deluxe Stacking Chair Red</t>
        </is>
      </c>
      <c r="R28" s="2" t="n">
        <v>134.208</v>
      </c>
      <c r="S28" t="n">
        <v>3</v>
      </c>
      <c r="T28" t="n">
        <v>0.2</v>
      </c>
      <c r="U28" s="2" t="n">
        <v>16.776</v>
      </c>
      <c r="V28" t="n">
        <v>2015</v>
      </c>
      <c r="W28" t="n">
        <v>4</v>
      </c>
      <c r="X28" t="n">
        <v>2</v>
      </c>
      <c r="Y28" t="n">
        <v>5</v>
      </c>
      <c r="Z28" t="n">
        <v>12.5</v>
      </c>
      <c r="AA28" t="n">
        <v>134.208</v>
      </c>
    </row>
    <row r="29">
      <c r="A29" t="n">
        <v>28</v>
      </c>
      <c r="B29" t="inlineStr">
        <is>
          <t>US-2016-158526</t>
        </is>
      </c>
      <c r="C29" t="inlineStr">
        <is>
          <t>2016-12-29</t>
        </is>
      </c>
      <c r="D29" t="inlineStr">
        <is>
          <t>2017-01-03</t>
        </is>
      </c>
      <c r="E29" t="inlineStr">
        <is>
          <t>Standard Class</t>
        </is>
      </c>
      <c r="F29" t="inlineStr">
        <is>
          <t>JB-15640</t>
        </is>
      </c>
      <c r="G29" t="inlineStr">
        <is>
          <t>Joseph Brigham</t>
        </is>
      </c>
      <c r="H29" t="inlineStr">
        <is>
          <t>Corporate</t>
        </is>
      </c>
      <c r="I29" t="inlineStr">
        <is>
          <t>Brazil</t>
        </is>
      </c>
      <c r="J29" t="inlineStr">
        <is>
          <t>Sao Paulo</t>
        </is>
      </c>
      <c r="K29" t="inlineStr">
        <is>
          <t>Sao Paulo</t>
        </is>
      </c>
      <c r="L29" t="inlineStr">
        <is>
          <t>01310</t>
        </is>
      </c>
      <c r="M29" t="inlineStr">
        <is>
          <t>LATAM</t>
        </is>
      </c>
      <c r="N29" t="inlineStr">
        <is>
          <t>OFF-EN-10002986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Imprint Invisible Tape Double Sided Permanent</t>
        </is>
      </c>
      <c r="R29" s="2" t="n">
        <v>55.5</v>
      </c>
      <c r="S29" t="n">
        <v>5</v>
      </c>
      <c r="T29" t="n">
        <v>0</v>
      </c>
      <c r="U29" s="2" t="n">
        <v>16.65</v>
      </c>
      <c r="V29" t="n">
        <v>2016</v>
      </c>
      <c r="W29" t="n">
        <v>12</v>
      </c>
      <c r="X29" t="n">
        <v>4</v>
      </c>
      <c r="Y29" t="n">
        <v>5</v>
      </c>
      <c r="Z29" t="n">
        <v>30</v>
      </c>
      <c r="AA29" t="n">
        <v>55.5</v>
      </c>
    </row>
    <row r="30">
      <c r="A30" t="n">
        <v>29</v>
      </c>
      <c r="B30" t="inlineStr">
        <is>
          <t>US-2016-158526</t>
        </is>
      </c>
      <c r="C30" t="inlineStr">
        <is>
          <t>2016-12-29</t>
        </is>
      </c>
      <c r="D30" t="inlineStr">
        <is>
          <t>2017-01-03</t>
        </is>
      </c>
      <c r="E30" t="inlineStr">
        <is>
          <t>Standard Class</t>
        </is>
      </c>
      <c r="F30" t="inlineStr">
        <is>
          <t>JB-15640</t>
        </is>
      </c>
      <c r="G30" t="inlineStr">
        <is>
          <t>Joseph Brigham</t>
        </is>
      </c>
      <c r="H30" t="inlineStr">
        <is>
          <t>Corporate</t>
        </is>
      </c>
      <c r="I30" t="inlineStr">
        <is>
          <t>Brazil</t>
        </is>
      </c>
      <c r="J30" t="inlineStr">
        <is>
          <t>Sao Paulo</t>
        </is>
      </c>
      <c r="K30" t="inlineStr">
        <is>
          <t>Sao Paulo</t>
        </is>
      </c>
      <c r="L30" t="inlineStr">
        <is>
          <t>01310</t>
        </is>
      </c>
      <c r="M30" t="inlineStr">
        <is>
          <t>LATAM</t>
        </is>
      </c>
      <c r="N30" t="inlineStr">
        <is>
          <t>TEC-CO-10004722</t>
        </is>
      </c>
      <c r="O30" t="inlineStr">
        <is>
          <t>Technology</t>
        </is>
      </c>
      <c r="P30" t="inlineStr">
        <is>
          <t>Copiers</t>
        </is>
      </c>
      <c r="Q30" t="inlineStr">
        <is>
          <t>Canon imageCLASS 2200 Advanced Copier</t>
        </is>
      </c>
      <c r="R30" s="2" t="n">
        <v>1999.992</v>
      </c>
      <c r="S30" t="n">
        <v>8</v>
      </c>
      <c r="T30" t="n">
        <v>0.2</v>
      </c>
      <c r="U30" s="2" t="n">
        <v>599.9976</v>
      </c>
      <c r="V30" t="n">
        <v>2016</v>
      </c>
      <c r="W30" t="n">
        <v>12</v>
      </c>
      <c r="X30" t="n">
        <v>4</v>
      </c>
      <c r="Y30" t="n">
        <v>5</v>
      </c>
      <c r="Z30" t="n">
        <v>30</v>
      </c>
      <c r="AA30" t="n">
        <v>1999.992</v>
      </c>
    </row>
    <row r="31">
      <c r="A31" t="n">
        <v>30</v>
      </c>
      <c r="B31" t="inlineStr">
        <is>
          <t>CA-2014-143336</t>
        </is>
      </c>
      <c r="C31" t="inlineStr">
        <is>
          <t>2014-09-03</t>
        </is>
      </c>
      <c r="D31" t="inlineStr">
        <is>
          <t>2014-09-05</t>
        </is>
      </c>
      <c r="E31" t="inlineStr">
        <is>
          <t>Second Class</t>
        </is>
      </c>
      <c r="F31" t="inlineStr">
        <is>
          <t>BS-11425</t>
        </is>
      </c>
      <c r="G31" t="inlineStr">
        <is>
          <t>Bill Shonely</t>
        </is>
      </c>
      <c r="H31" t="inlineStr">
        <is>
          <t>Consumer</t>
        </is>
      </c>
      <c r="I31" t="inlineStr">
        <is>
          <t>China</t>
        </is>
      </c>
      <c r="J31" t="inlineStr">
        <is>
          <t>Beijing</t>
        </is>
      </c>
      <c r="K31" t="inlineStr">
        <is>
          <t>Beijing</t>
        </is>
      </c>
      <c r="L31" t="inlineStr">
        <is>
          <t>100000</t>
        </is>
      </c>
      <c r="M31" t="inlineStr">
        <is>
          <t>Asia</t>
        </is>
      </c>
      <c r="N31" t="inlineStr">
        <is>
          <t>OFF-AR-10000246</t>
        </is>
      </c>
      <c r="O31" t="inlineStr">
        <is>
          <t>Office Supplies</t>
        </is>
      </c>
      <c r="P31" t="inlineStr">
        <is>
          <t>Art</t>
        </is>
      </c>
      <c r="Q31" t="inlineStr">
        <is>
          <t>Crayola Metallic Colored Pencils 8-Color Set</t>
        </is>
      </c>
      <c r="R31" s="2" t="n">
        <v>21.76</v>
      </c>
      <c r="S31" t="n">
        <v>4</v>
      </c>
      <c r="T31" t="n">
        <v>0.2</v>
      </c>
      <c r="U31" s="2" t="n">
        <v>10.0096</v>
      </c>
      <c r="V31" t="n">
        <v>2014</v>
      </c>
      <c r="W31" t="n">
        <v>9</v>
      </c>
      <c r="X31" t="n">
        <v>3</v>
      </c>
      <c r="Y31" t="n">
        <v>2</v>
      </c>
      <c r="Z31" t="n">
        <v>46</v>
      </c>
      <c r="AA31" t="n">
        <v>21.76</v>
      </c>
    </row>
    <row r="32">
      <c r="A32" t="n">
        <v>31</v>
      </c>
      <c r="B32" t="inlineStr">
        <is>
          <t>CA-2014-143336</t>
        </is>
      </c>
      <c r="C32" t="inlineStr">
        <is>
          <t>2014-09-03</t>
        </is>
      </c>
      <c r="D32" t="inlineStr">
        <is>
          <t>2014-09-05</t>
        </is>
      </c>
      <c r="E32" t="inlineStr">
        <is>
          <t>Second Class</t>
        </is>
      </c>
      <c r="F32" t="inlineStr">
        <is>
          <t>BS-11425</t>
        </is>
      </c>
      <c r="G32" t="inlineStr">
        <is>
          <t>Bill Shonely</t>
        </is>
      </c>
      <c r="H32" t="inlineStr">
        <is>
          <t>Consumer</t>
        </is>
      </c>
      <c r="I32" t="inlineStr">
        <is>
          <t>China</t>
        </is>
      </c>
      <c r="J32" t="inlineStr">
        <is>
          <t>Beijing</t>
        </is>
      </c>
      <c r="K32" t="inlineStr">
        <is>
          <t>Beijing</t>
        </is>
      </c>
      <c r="L32" t="inlineStr">
        <is>
          <t>100000</t>
        </is>
      </c>
      <c r="M32" t="inlineStr">
        <is>
          <t>Asia</t>
        </is>
      </c>
      <c r="N32" t="inlineStr">
        <is>
          <t>TEC-AC-10002167</t>
        </is>
      </c>
      <c r="O32" t="inlineStr">
        <is>
          <t>Technology</t>
        </is>
      </c>
      <c r="P32" t="inlineStr">
        <is>
          <t>Accessories</t>
        </is>
      </c>
      <c r="Q32" t="inlineStr">
        <is>
          <t>Logitech G19 Programmable Gaming Keyboard</t>
        </is>
      </c>
      <c r="R32" s="2" t="n">
        <v>439.784</v>
      </c>
      <c r="S32" t="n">
        <v>2</v>
      </c>
      <c r="T32" t="n">
        <v>0.2</v>
      </c>
      <c r="U32" s="2" t="n">
        <v>52.774</v>
      </c>
      <c r="V32" t="n">
        <v>2014</v>
      </c>
      <c r="W32" t="n">
        <v>9</v>
      </c>
      <c r="X32" t="n">
        <v>3</v>
      </c>
      <c r="Y32" t="n">
        <v>2</v>
      </c>
      <c r="Z32" t="n">
        <v>12</v>
      </c>
      <c r="AA32" t="n">
        <v>439.784</v>
      </c>
    </row>
    <row r="33">
      <c r="A33" t="n">
        <v>32</v>
      </c>
      <c r="B33" t="inlineStr">
        <is>
          <t>CA-2016-137330</t>
        </is>
      </c>
      <c r="C33" t="inlineStr">
        <is>
          <t>2016-12-09</t>
        </is>
      </c>
      <c r="D33" t="inlineStr">
        <is>
          <t>2016-12-13</t>
        </is>
      </c>
      <c r="E33" t="inlineStr">
        <is>
          <t>Standard Class</t>
        </is>
      </c>
      <c r="F33" t="inlineStr">
        <is>
          <t>SJ-20650</t>
        </is>
      </c>
      <c r="G33" t="inlineStr">
        <is>
          <t>Scot Jones</t>
        </is>
      </c>
      <c r="H33" t="inlineStr">
        <is>
          <t>Consumer</t>
        </is>
      </c>
      <c r="I33" t="inlineStr">
        <is>
          <t>Japan</t>
        </is>
      </c>
      <c r="J33" t="inlineStr">
        <is>
          <t>Tokyo</t>
        </is>
      </c>
      <c r="K33" t="inlineStr">
        <is>
          <t>Tokyo</t>
        </is>
      </c>
      <c r="L33" t="inlineStr">
        <is>
          <t>100-0001</t>
        </is>
      </c>
      <c r="M33" t="inlineStr">
        <is>
          <t>Asia</t>
        </is>
      </c>
      <c r="N33" t="inlineStr">
        <is>
          <t>FUR-TA-10001889</t>
        </is>
      </c>
      <c r="O33" t="inlineStr">
        <is>
          <t>Furniture</t>
        </is>
      </c>
      <c r="P33" t="inlineStr">
        <is>
          <t>Tables</t>
        </is>
      </c>
      <c r="Q33" t="inlineStr">
        <is>
          <t>Bush Advantage Collection Racetrack Conference Table</t>
        </is>
      </c>
      <c r="R33" s="2" t="n">
        <v>2573.82</v>
      </c>
      <c r="S33" t="n">
        <v>9</v>
      </c>
      <c r="T33" t="n">
        <v>0.3</v>
      </c>
      <c r="U33" s="2" t="n">
        <v>-1716.8052</v>
      </c>
      <c r="V33" t="n">
        <v>2016</v>
      </c>
      <c r="W33" t="n">
        <v>12</v>
      </c>
      <c r="X33" t="n">
        <v>4</v>
      </c>
      <c r="Y33" t="n">
        <v>4</v>
      </c>
      <c r="Z33" t="n">
        <v>-66.7</v>
      </c>
      <c r="AA33" t="n">
        <v>2573.82</v>
      </c>
    </row>
    <row r="34">
      <c r="A34" t="n">
        <v>33</v>
      </c>
      <c r="B34" t="inlineStr">
        <is>
          <t>CA-2016-137330</t>
        </is>
      </c>
      <c r="C34" t="inlineStr">
        <is>
          <t>2016-12-09</t>
        </is>
      </c>
      <c r="D34" t="inlineStr">
        <is>
          <t>2016-12-13</t>
        </is>
      </c>
      <c r="E34" t="inlineStr">
        <is>
          <t>Standard Class</t>
        </is>
      </c>
      <c r="F34" t="inlineStr">
        <is>
          <t>SJ-20650</t>
        </is>
      </c>
      <c r="G34" t="inlineStr">
        <is>
          <t>Scot Jones</t>
        </is>
      </c>
      <c r="H34" t="inlineStr">
        <is>
          <t>Consumer</t>
        </is>
      </c>
      <c r="I34" t="inlineStr">
        <is>
          <t>Japan</t>
        </is>
      </c>
      <c r="J34" t="inlineStr">
        <is>
          <t>Tokyo</t>
        </is>
      </c>
      <c r="K34" t="inlineStr">
        <is>
          <t>Tokyo</t>
        </is>
      </c>
      <c r="L34" t="inlineStr">
        <is>
          <t>100-0001</t>
        </is>
      </c>
      <c r="M34" t="inlineStr">
        <is>
          <t>Asia</t>
        </is>
      </c>
      <c r="N34" t="inlineStr">
        <is>
          <t>OFF-PA-10000587</t>
        </is>
      </c>
      <c r="O34" t="inlineStr">
        <is>
          <t>Office Supplies</t>
        </is>
      </c>
      <c r="P34" t="inlineStr">
        <is>
          <t>Paper</t>
        </is>
      </c>
      <c r="Q34" t="inlineStr">
        <is>
          <t>Xerox 1890</t>
        </is>
      </c>
      <c r="R34" s="2" t="n">
        <v>23.04</v>
      </c>
      <c r="S34" t="n">
        <v>4</v>
      </c>
      <c r="T34" t="n">
        <v>0.2</v>
      </c>
      <c r="U34" s="2" t="n">
        <v>10.5792</v>
      </c>
      <c r="V34" t="n">
        <v>2016</v>
      </c>
      <c r="W34" t="n">
        <v>12</v>
      </c>
      <c r="X34" t="n">
        <v>4</v>
      </c>
      <c r="Y34" t="n">
        <v>4</v>
      </c>
      <c r="Z34" t="n">
        <v>45.92</v>
      </c>
      <c r="AA34" t="n">
        <v>23.04</v>
      </c>
    </row>
    <row r="35">
      <c r="A35" t="n">
        <v>34</v>
      </c>
      <c r="B35" t="inlineStr">
        <is>
          <t>CA-2015-149734</t>
        </is>
      </c>
      <c r="C35" t="inlineStr">
        <is>
          <t>2015-01-16</t>
        </is>
      </c>
      <c r="D35" t="inlineStr">
        <is>
          <t>2015-01-21</t>
        </is>
      </c>
      <c r="E35" t="inlineStr">
        <is>
          <t>Standard Class</t>
        </is>
      </c>
      <c r="F35" t="inlineStr">
        <is>
          <t>CC-12550</t>
        </is>
      </c>
      <c r="G35" t="inlineStr">
        <is>
          <t>Carlos Craft</t>
        </is>
      </c>
      <c r="H35" t="inlineStr">
        <is>
          <t>Consumer</t>
        </is>
      </c>
      <c r="I35" t="inlineStr">
        <is>
          <t>India</t>
        </is>
      </c>
      <c r="J35" t="inlineStr">
        <is>
          <t>Mumbai</t>
        </is>
      </c>
      <c r="K35" t="inlineStr">
        <is>
          <t>Maharashtra</t>
        </is>
      </c>
      <c r="L35" t="inlineStr">
        <is>
          <t>400001</t>
        </is>
      </c>
      <c r="M35" t="inlineStr">
        <is>
          <t>Asia</t>
        </is>
      </c>
      <c r="N35" t="inlineStr">
        <is>
          <t>TEC-PH-10004977</t>
        </is>
      </c>
      <c r="O35" t="inlineStr">
        <is>
          <t>Technology</t>
        </is>
      </c>
      <c r="P35" t="inlineStr">
        <is>
          <t>Phones</t>
        </is>
      </c>
      <c r="Q35" t="inlineStr">
        <is>
          <t>Cisco SPA525G2 5-Line IP Phone</t>
        </is>
      </c>
      <c r="R35" s="2" t="n">
        <v>1097.544</v>
      </c>
      <c r="S35" t="n">
        <v>7</v>
      </c>
      <c r="T35" t="n">
        <v>0.2</v>
      </c>
      <c r="U35" s="2" t="n">
        <v>219.5088</v>
      </c>
      <c r="V35" t="n">
        <v>2015</v>
      </c>
      <c r="W35" t="n">
        <v>1</v>
      </c>
      <c r="X35" t="n">
        <v>1</v>
      </c>
      <c r="Y35" t="n">
        <v>5</v>
      </c>
      <c r="Z35" t="n">
        <v>20</v>
      </c>
      <c r="AA35" t="n">
        <v>1097.544</v>
      </c>
    </row>
    <row r="36">
      <c r="A36" t="n">
        <v>35</v>
      </c>
      <c r="B36" t="inlineStr">
        <is>
          <t>CA-2015-149734</t>
        </is>
      </c>
      <c r="C36" t="inlineStr">
        <is>
          <t>2015-01-16</t>
        </is>
      </c>
      <c r="D36" t="inlineStr">
        <is>
          <t>2015-01-21</t>
        </is>
      </c>
      <c r="E36" t="inlineStr">
        <is>
          <t>Standard Class</t>
        </is>
      </c>
      <c r="F36" t="inlineStr">
        <is>
          <t>CC-12550</t>
        </is>
      </c>
      <c r="G36" t="inlineStr">
        <is>
          <t>Carlos Craft</t>
        </is>
      </c>
      <c r="H36" t="inlineStr">
        <is>
          <t>Consumer</t>
        </is>
      </c>
      <c r="I36" t="inlineStr">
        <is>
          <t>India</t>
        </is>
      </c>
      <c r="J36" t="inlineStr">
        <is>
          <t>Mumbai</t>
        </is>
      </c>
      <c r="K36" t="inlineStr">
        <is>
          <t>Maharashtra</t>
        </is>
      </c>
      <c r="L36" t="inlineStr">
        <is>
          <t>400001</t>
        </is>
      </c>
      <c r="M36" t="inlineStr">
        <is>
          <t>Asia</t>
        </is>
      </c>
      <c r="N36" t="inlineStr">
        <is>
          <t>OFF-BI-10003656</t>
        </is>
      </c>
      <c r="O36" t="inlineStr">
        <is>
          <t>Office Supplies</t>
        </is>
      </c>
      <c r="P36" t="inlineStr">
        <is>
          <t>Binders</t>
        </is>
      </c>
      <c r="Q36" t="inlineStr">
        <is>
          <t>Wilson Jones Active Use Binders</t>
        </is>
      </c>
      <c r="R36" s="2" t="n">
        <v>11.784</v>
      </c>
      <c r="S36" t="n">
        <v>3</v>
      </c>
      <c r="T36" t="n">
        <v>0.2</v>
      </c>
      <c r="U36" s="2" t="n">
        <v>5.6232</v>
      </c>
      <c r="V36" t="n">
        <v>2015</v>
      </c>
      <c r="W36" t="n">
        <v>1</v>
      </c>
      <c r="X36" t="n">
        <v>1</v>
      </c>
      <c r="Y36" t="n">
        <v>5</v>
      </c>
      <c r="Z36" t="n">
        <v>47.72</v>
      </c>
      <c r="AA36" t="n">
        <v>11.784</v>
      </c>
    </row>
    <row r="37">
      <c r="A37" t="n">
        <v>36</v>
      </c>
      <c r="B37" t="inlineStr">
        <is>
          <t>US-2016-165316</t>
        </is>
      </c>
      <c r="C37" t="inlineStr">
        <is>
          <t>2016-05-05</t>
        </is>
      </c>
      <c r="D37" t="inlineStr">
        <is>
          <t>2016-05-10</t>
        </is>
      </c>
      <c r="E37" t="inlineStr">
        <is>
          <t>Standard Class</t>
        </is>
      </c>
      <c r="F37" t="inlineStr">
        <is>
          <t>KB-16585</t>
        </is>
      </c>
      <c r="G37" t="inlineStr">
        <is>
          <t>Karl Braun</t>
        </is>
      </c>
      <c r="H37" t="inlineStr">
        <is>
          <t>Consumer</t>
        </is>
      </c>
      <c r="I37" t="inlineStr">
        <is>
          <t>South Africa</t>
        </is>
      </c>
      <c r="J37" t="inlineStr">
        <is>
          <t>Johannesburg</t>
        </is>
      </c>
      <c r="K37" t="inlineStr">
        <is>
          <t>Gauteng</t>
        </is>
      </c>
      <c r="L37" t="inlineStr">
        <is>
          <t>2000</t>
        </is>
      </c>
      <c r="M37" t="inlineStr">
        <is>
          <t>Africa</t>
        </is>
      </c>
      <c r="N37" t="inlineStr">
        <is>
          <t>FUR-FU-10000010</t>
        </is>
      </c>
      <c r="O37" t="inlineStr">
        <is>
          <t>Furniture</t>
        </is>
      </c>
      <c r="P37" t="inlineStr">
        <is>
          <t>Furnishings</t>
        </is>
      </c>
      <c r="Q37" t="inlineStr">
        <is>
          <t>Howard Miller 13-3/4 Diameter Brushed Chrome Round Wall Clock</t>
        </is>
      </c>
      <c r="R37" s="2" t="n">
        <v>68.98</v>
      </c>
      <c r="S37" t="n">
        <v>1</v>
      </c>
      <c r="T37" t="n">
        <v>0.2</v>
      </c>
      <c r="U37" s="2" t="n">
        <v>20.694</v>
      </c>
      <c r="V37" t="n">
        <v>2016</v>
      </c>
      <c r="W37" t="n">
        <v>5</v>
      </c>
      <c r="X37" t="n">
        <v>2</v>
      </c>
      <c r="Y37" t="n">
        <v>5</v>
      </c>
      <c r="Z37" t="n">
        <v>30</v>
      </c>
      <c r="AA37" t="n">
        <v>68.98</v>
      </c>
    </row>
    <row r="38">
      <c r="A38" t="n">
        <v>37</v>
      </c>
      <c r="B38" t="inlineStr">
        <is>
          <t>US-2016-165316</t>
        </is>
      </c>
      <c r="C38" t="inlineStr">
        <is>
          <t>2016-05-05</t>
        </is>
      </c>
      <c r="D38" t="inlineStr">
        <is>
          <t>2016-05-10</t>
        </is>
      </c>
      <c r="E38" t="inlineStr">
        <is>
          <t>Standard Class</t>
        </is>
      </c>
      <c r="F38" t="inlineStr">
        <is>
          <t>KB-16585</t>
        </is>
      </c>
      <c r="G38" t="inlineStr">
        <is>
          <t>Karl Braun</t>
        </is>
      </c>
      <c r="H38" t="inlineStr">
        <is>
          <t>Consumer</t>
        </is>
      </c>
      <c r="I38" t="inlineStr">
        <is>
          <t>South Africa</t>
        </is>
      </c>
      <c r="J38" t="inlineStr">
        <is>
          <t>Johannesburg</t>
        </is>
      </c>
      <c r="K38" t="inlineStr">
        <is>
          <t>Gauteng</t>
        </is>
      </c>
      <c r="L38" t="inlineStr">
        <is>
          <t>2000</t>
        </is>
      </c>
      <c r="M38" t="inlineStr">
        <is>
          <t>Africa</t>
        </is>
      </c>
      <c r="N38" t="inlineStr">
        <is>
          <t>TEC-AC-10004633</t>
        </is>
      </c>
      <c r="O38" t="inlineStr">
        <is>
          <t>Technology</t>
        </is>
      </c>
      <c r="P38" t="inlineStr">
        <is>
          <t>Accessories</t>
        </is>
      </c>
      <c r="Q38" t="inlineStr">
        <is>
          <t>Razer Deathadder Gaming Mouse</t>
        </is>
      </c>
      <c r="R38" s="2" t="n">
        <v>29.99</v>
      </c>
      <c r="S38" t="n">
        <v>1</v>
      </c>
      <c r="T38" t="n">
        <v>0</v>
      </c>
      <c r="U38" s="2" t="n">
        <v>8.997</v>
      </c>
      <c r="V38" t="n">
        <v>2016</v>
      </c>
      <c r="W38" t="n">
        <v>5</v>
      </c>
      <c r="X38" t="n">
        <v>2</v>
      </c>
      <c r="Y38" t="n">
        <v>5</v>
      </c>
      <c r="Z38" t="n">
        <v>30</v>
      </c>
      <c r="AA38" t="n">
        <v>29.99</v>
      </c>
    </row>
    <row r="39">
      <c r="A39" t="n">
        <v>38</v>
      </c>
      <c r="B39" t="inlineStr">
        <is>
          <t>CA-2014-106320</t>
        </is>
      </c>
      <c r="C39" t="inlineStr">
        <is>
          <t>2014-03-25</t>
        </is>
      </c>
      <c r="D39" t="inlineStr">
        <is>
          <t>2014-03-30</t>
        </is>
      </c>
      <c r="E39" t="inlineStr">
        <is>
          <t>Standard Class</t>
        </is>
      </c>
      <c r="F39" t="inlineStr">
        <is>
          <t>EB-13870</t>
        </is>
      </c>
      <c r="G39" t="inlineStr">
        <is>
          <t>Eugene Barchas</t>
        </is>
      </c>
      <c r="H39" t="inlineStr">
        <is>
          <t>Corporate</t>
        </is>
      </c>
      <c r="I39" t="inlineStr">
        <is>
          <t>Nigeria</t>
        </is>
      </c>
      <c r="J39" t="inlineStr">
        <is>
          <t>Lagos</t>
        </is>
      </c>
      <c r="K39" t="inlineStr">
        <is>
          <t>Lagos</t>
        </is>
      </c>
      <c r="L39" t="inlineStr">
        <is>
          <t>100001</t>
        </is>
      </c>
      <c r="M39" t="inlineStr">
        <is>
          <t>Africa</t>
        </is>
      </c>
      <c r="N39" t="inlineStr">
        <is>
          <t>OFF-ST-10003479</t>
        </is>
      </c>
      <c r="O39" t="inlineStr">
        <is>
          <t>Office Supplies</t>
        </is>
      </c>
      <c r="P39" t="inlineStr">
        <is>
          <t>Storage</t>
        </is>
      </c>
      <c r="Q39" t="inlineStr">
        <is>
          <t>Eldon Jumbo ProStack Desk Sorter Black</t>
        </is>
      </c>
      <c r="R39" s="2" t="n">
        <v>208.56</v>
      </c>
      <c r="S39" t="n">
        <v>6</v>
      </c>
      <c r="T39" t="n">
        <v>0.2</v>
      </c>
      <c r="U39" s="2" t="n">
        <v>72.996</v>
      </c>
      <c r="V39" t="n">
        <v>2014</v>
      </c>
      <c r="W39" t="n">
        <v>3</v>
      </c>
      <c r="X39" t="n">
        <v>1</v>
      </c>
      <c r="Y39" t="n">
        <v>5</v>
      </c>
      <c r="Z39" t="n">
        <v>35</v>
      </c>
      <c r="AA39" t="n">
        <v>208.56</v>
      </c>
    </row>
    <row r="40">
      <c r="A40" t="n">
        <v>39</v>
      </c>
      <c r="B40" t="inlineStr">
        <is>
          <t>CA-2014-106320</t>
        </is>
      </c>
      <c r="C40" t="inlineStr">
        <is>
          <t>2014-03-25</t>
        </is>
      </c>
      <c r="D40" t="inlineStr">
        <is>
          <t>2014-03-30</t>
        </is>
      </c>
      <c r="E40" t="inlineStr">
        <is>
          <t>Standard Class</t>
        </is>
      </c>
      <c r="F40" t="inlineStr">
        <is>
          <t>EB-13870</t>
        </is>
      </c>
      <c r="G40" t="inlineStr">
        <is>
          <t>Eugene Barchas</t>
        </is>
      </c>
      <c r="H40" t="inlineStr">
        <is>
          <t>Corporate</t>
        </is>
      </c>
      <c r="I40" t="inlineStr">
        <is>
          <t>Nigeria</t>
        </is>
      </c>
      <c r="J40" t="inlineStr">
        <is>
          <t>Lagos</t>
        </is>
      </c>
      <c r="K40" t="inlineStr">
        <is>
          <t>Lagos</t>
        </is>
      </c>
      <c r="L40" t="inlineStr">
        <is>
          <t>100001</t>
        </is>
      </c>
      <c r="M40" t="inlineStr">
        <is>
          <t>Africa</t>
        </is>
      </c>
      <c r="N40" t="inlineStr">
        <is>
          <t>FUR-CH-10002774</t>
        </is>
      </c>
      <c r="O40" t="inlineStr">
        <is>
          <t>Furniture</t>
        </is>
      </c>
      <c r="P40" t="inlineStr">
        <is>
          <t>Chairs</t>
        </is>
      </c>
      <c r="Q40" t="inlineStr">
        <is>
          <t>Global Task Chair Asphalt</t>
        </is>
      </c>
      <c r="R40" s="2" t="n">
        <v>213.115</v>
      </c>
      <c r="S40" t="n">
        <v>5</v>
      </c>
      <c r="T40" t="n">
        <v>0.35</v>
      </c>
      <c r="U40" s="2" t="n">
        <v>-78.5767</v>
      </c>
      <c r="V40" t="n">
        <v>2014</v>
      </c>
      <c r="W40" t="n">
        <v>3</v>
      </c>
      <c r="X40" t="n">
        <v>1</v>
      </c>
      <c r="Y40" t="n">
        <v>5</v>
      </c>
      <c r="Z40" t="n">
        <v>-36.87</v>
      </c>
      <c r="AA40" t="n">
        <v>213.115</v>
      </c>
    </row>
    <row r="41">
      <c r="A41" t="n">
        <v>40</v>
      </c>
      <c r="B41" t="inlineStr">
        <is>
          <t>CA-2015-115546</t>
        </is>
      </c>
      <c r="C41" t="inlineStr">
        <is>
          <t>2015-04-18</t>
        </is>
      </c>
      <c r="D41" t="inlineStr">
        <is>
          <t>2015-04-24</t>
        </is>
      </c>
      <c r="E41" t="inlineStr">
        <is>
          <t>Standard Class</t>
        </is>
      </c>
      <c r="F41" t="inlineStr">
        <is>
          <t>GB-14710</t>
        </is>
      </c>
      <c r="G41" t="inlineStr">
        <is>
          <t>Grant Barrera</t>
        </is>
      </c>
      <c r="H41" t="inlineStr">
        <is>
          <t>Consumer</t>
        </is>
      </c>
      <c r="I41" t="inlineStr">
        <is>
          <t>Egypt</t>
        </is>
      </c>
      <c r="J41" t="inlineStr">
        <is>
          <t>Cairo</t>
        </is>
      </c>
      <c r="K41" t="inlineStr">
        <is>
          <t>Cairo</t>
        </is>
      </c>
      <c r="L41" t="inlineStr">
        <is>
          <t>11511</t>
        </is>
      </c>
      <c r="M41" t="inlineStr">
        <is>
          <t>Africa</t>
        </is>
      </c>
      <c r="N41" t="inlineStr">
        <is>
          <t>TEC-MA-10000822</t>
        </is>
      </c>
      <c r="O41" t="inlineStr">
        <is>
          <t>Technology</t>
        </is>
      </c>
      <c r="P41" t="inlineStr">
        <is>
          <t>Machines</t>
        </is>
      </c>
      <c r="Q41" t="inlineStr">
        <is>
          <t>Ativa V4110MDD Micro-Cut Shredder</t>
        </is>
      </c>
      <c r="R41" s="2" t="n">
        <v>599.99</v>
      </c>
      <c r="S41" t="n">
        <v>1</v>
      </c>
      <c r="T41" t="n">
        <v>0.2</v>
      </c>
      <c r="U41" s="2" t="n">
        <v>179.997</v>
      </c>
      <c r="V41" t="n">
        <v>2015</v>
      </c>
      <c r="W41" t="n">
        <v>4</v>
      </c>
      <c r="X41" t="n">
        <v>2</v>
      </c>
      <c r="Y41" t="n">
        <v>6</v>
      </c>
      <c r="Z41" t="n">
        <v>30</v>
      </c>
      <c r="AA41" t="n">
        <v>599.99</v>
      </c>
    </row>
    <row r="42">
      <c r="A42" t="n">
        <v>41</v>
      </c>
      <c r="B42" t="inlineStr">
        <is>
          <t>US-2015-115546</t>
        </is>
      </c>
      <c r="C42" t="inlineStr">
        <is>
          <t>2015-04-18</t>
        </is>
      </c>
      <c r="D42" t="inlineStr">
        <is>
          <t>2015-04-24</t>
        </is>
      </c>
      <c r="E42" t="inlineStr">
        <is>
          <t>Standard Class</t>
        </is>
      </c>
      <c r="F42" t="inlineStr">
        <is>
          <t>GB-14710</t>
        </is>
      </c>
      <c r="G42" t="inlineStr">
        <is>
          <t>Grant Barrera</t>
        </is>
      </c>
      <c r="H42" t="inlineStr">
        <is>
          <t>Consumer</t>
        </is>
      </c>
      <c r="I42" t="inlineStr">
        <is>
          <t>Egypt</t>
        </is>
      </c>
      <c r="J42" t="inlineStr">
        <is>
          <t>Cairo</t>
        </is>
      </c>
      <c r="K42" t="inlineStr">
        <is>
          <t>Cairo</t>
        </is>
      </c>
      <c r="L42" t="inlineStr">
        <is>
          <t>11511</t>
        </is>
      </c>
      <c r="M42" t="inlineStr">
        <is>
          <t>Africa</t>
        </is>
      </c>
      <c r="N42" t="inlineStr">
        <is>
          <t>OFF-PA-10001492</t>
        </is>
      </c>
      <c r="O42" t="inlineStr">
        <is>
          <t>Office Supplies</t>
        </is>
      </c>
      <c r="P42" t="inlineStr">
        <is>
          <t>Paper</t>
        </is>
      </c>
      <c r="Q42" t="inlineStr">
        <is>
          <t>Xerox 1967</t>
        </is>
      </c>
      <c r="R42" s="2" t="n">
        <v>11.96</v>
      </c>
      <c r="S42" t="n">
        <v>2</v>
      </c>
      <c r="T42" t="n">
        <v>0</v>
      </c>
      <c r="U42" s="2" t="n">
        <v>4.784</v>
      </c>
      <c r="V42" t="n">
        <v>2015</v>
      </c>
      <c r="W42" t="n">
        <v>4</v>
      </c>
      <c r="X42" t="n">
        <v>2</v>
      </c>
      <c r="Y42" t="n">
        <v>6</v>
      </c>
      <c r="Z42" t="n">
        <v>40</v>
      </c>
      <c r="AA42" t="n">
        <v>11.96</v>
      </c>
    </row>
    <row r="43">
      <c r="A43" t="n">
        <v>42</v>
      </c>
      <c r="B43" t="inlineStr">
        <is>
          <t>CA-2016-118437</t>
        </is>
      </c>
      <c r="C43" t="inlineStr">
        <is>
          <t>2016-03-10</t>
        </is>
      </c>
      <c r="D43" t="inlineStr">
        <is>
          <t>2016-03-15</t>
        </is>
      </c>
      <c r="E43" t="inlineStr">
        <is>
          <t>Standard Class</t>
        </is>
      </c>
      <c r="F43" t="inlineStr">
        <is>
          <t>NB-18805</t>
        </is>
      </c>
      <c r="G43" t="inlineStr">
        <is>
          <t>Nora Benefield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Dallas</t>
        </is>
      </c>
      <c r="K43" t="inlineStr">
        <is>
          <t>Texas</t>
        </is>
      </c>
      <c r="L43" t="inlineStr">
        <is>
          <t>75247</t>
        </is>
      </c>
      <c r="M43" t="inlineStr">
        <is>
          <t>South</t>
        </is>
      </c>
      <c r="N43" t="inlineStr">
        <is>
          <t>FUR-TA-10003177</t>
        </is>
      </c>
      <c r="O43" t="inlineStr">
        <is>
          <t>Furniture</t>
        </is>
      </c>
      <c r="P43" t="inlineStr">
        <is>
          <t>Tables</t>
        </is>
      </c>
      <c r="Q43" t="inlineStr">
        <is>
          <t>HON 94000 Series Round Tables</t>
        </is>
      </c>
      <c r="R43" s="2" t="n">
        <v>1044.63</v>
      </c>
      <c r="S43" t="n">
        <v>3</v>
      </c>
      <c r="T43" t="n">
        <v>0.3</v>
      </c>
      <c r="U43" s="2" t="n">
        <v>-418.926</v>
      </c>
      <c r="V43" t="n">
        <v>2016</v>
      </c>
      <c r="W43" t="n">
        <v>3</v>
      </c>
      <c r="X43" t="n">
        <v>1</v>
      </c>
      <c r="Y43" t="n">
        <v>5</v>
      </c>
      <c r="Z43" t="n">
        <v>-40.1</v>
      </c>
      <c r="AA43" t="n">
        <v>1044.63</v>
      </c>
    </row>
    <row r="44">
      <c r="A44" t="n">
        <v>43</v>
      </c>
      <c r="B44" t="inlineStr">
        <is>
          <t>CA-2016-118437</t>
        </is>
      </c>
      <c r="C44" t="inlineStr">
        <is>
          <t>2016-03-10</t>
        </is>
      </c>
      <c r="D44" t="inlineStr">
        <is>
          <t>2016-03-15</t>
        </is>
      </c>
      <c r="E44" t="inlineStr">
        <is>
          <t>Standard Class</t>
        </is>
      </c>
      <c r="F44" t="inlineStr">
        <is>
          <t>NB-18805</t>
        </is>
      </c>
      <c r="G44" t="inlineStr">
        <is>
          <t>Nora Benefield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Dallas</t>
        </is>
      </c>
      <c r="K44" t="inlineStr">
        <is>
          <t>Texas</t>
        </is>
      </c>
      <c r="L44" t="inlineStr">
        <is>
          <t>75247</t>
        </is>
      </c>
      <c r="M44" t="inlineStr">
        <is>
          <t>South</t>
        </is>
      </c>
      <c r="N44" t="inlineStr">
        <is>
          <t>TEC-PH-10001546</t>
        </is>
      </c>
      <c r="O44" t="inlineStr">
        <is>
          <t>Technology</t>
        </is>
      </c>
      <c r="P44" t="inlineStr">
        <is>
          <t>Phones</t>
        </is>
      </c>
      <c r="Q44" t="inlineStr">
        <is>
          <t>Cisco 8961 IP Phone Charcoal</t>
        </is>
      </c>
      <c r="R44" s="2" t="n">
        <v>383.424</v>
      </c>
      <c r="S44" t="n">
        <v>4</v>
      </c>
      <c r="T44" t="n">
        <v>0.2</v>
      </c>
      <c r="U44" s="2" t="n">
        <v>95.85599999999999</v>
      </c>
      <c r="V44" t="n">
        <v>2016</v>
      </c>
      <c r="W44" t="n">
        <v>3</v>
      </c>
      <c r="X44" t="n">
        <v>1</v>
      </c>
      <c r="Y44" t="n">
        <v>5</v>
      </c>
      <c r="Z44" t="n">
        <v>25</v>
      </c>
      <c r="AA44" t="n">
        <v>383.424</v>
      </c>
    </row>
    <row r="45">
      <c r="A45" t="n">
        <v>44</v>
      </c>
      <c r="B45" t="inlineStr">
        <is>
          <t>US-2015-156909</t>
        </is>
      </c>
      <c r="C45" t="inlineStr">
        <is>
          <t>2015-07-16</t>
        </is>
      </c>
      <c r="D45" t="inlineStr">
        <is>
          <t>2015-07-18</t>
        </is>
      </c>
      <c r="E45" t="inlineStr">
        <is>
          <t>Second Class</t>
        </is>
      </c>
      <c r="F45" t="inlineStr">
        <is>
          <t>JH-15985</t>
        </is>
      </c>
      <c r="G45" t="inlineStr">
        <is>
          <t>John Hathaway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Miami</t>
        </is>
      </c>
      <c r="K45" t="inlineStr">
        <is>
          <t>Florida</t>
        </is>
      </c>
      <c r="L45" t="inlineStr">
        <is>
          <t>33180</t>
        </is>
      </c>
      <c r="M45" t="inlineStr">
        <is>
          <t>South</t>
        </is>
      </c>
      <c r="N45" t="inlineStr">
        <is>
          <t>OFF-FA-10001478</t>
        </is>
      </c>
      <c r="O45" t="inlineStr">
        <is>
          <t>Office Supplies</t>
        </is>
      </c>
      <c r="P45" t="inlineStr">
        <is>
          <t>Fasteners</t>
        </is>
      </c>
      <c r="Q45" t="inlineStr">
        <is>
          <t>Staples</t>
        </is>
      </c>
      <c r="R45" s="2" t="n">
        <v>5.444</v>
      </c>
      <c r="S45" t="n">
        <v>2</v>
      </c>
      <c r="T45" t="n">
        <v>0.2</v>
      </c>
      <c r="U45" s="2" t="n">
        <v>2.6656</v>
      </c>
      <c r="V45" t="n">
        <v>2015</v>
      </c>
      <c r="W45" t="n">
        <v>7</v>
      </c>
      <c r="X45" t="n">
        <v>3</v>
      </c>
      <c r="Y45" t="n">
        <v>2</v>
      </c>
      <c r="Z45" t="n">
        <v>48.96</v>
      </c>
      <c r="AA45" t="n">
        <v>5.444</v>
      </c>
    </row>
    <row r="46">
      <c r="A46" t="n">
        <v>45</v>
      </c>
      <c r="B46" t="inlineStr">
        <is>
          <t>US-2015-156909</t>
        </is>
      </c>
      <c r="C46" t="inlineStr">
        <is>
          <t>2015-07-16</t>
        </is>
      </c>
      <c r="D46" t="inlineStr">
        <is>
          <t>2015-07-18</t>
        </is>
      </c>
      <c r="E46" t="inlineStr">
        <is>
          <t>Second Class</t>
        </is>
      </c>
      <c r="F46" t="inlineStr">
        <is>
          <t>JH-15985</t>
        </is>
      </c>
      <c r="G46" t="inlineStr">
        <is>
          <t>John Hathaway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Miami</t>
        </is>
      </c>
      <c r="K46" t="inlineStr">
        <is>
          <t>Florida</t>
        </is>
      </c>
      <c r="L46" t="inlineStr">
        <is>
          <t>33180</t>
        </is>
      </c>
      <c r="M46" t="inlineStr">
        <is>
          <t>South</t>
        </is>
      </c>
      <c r="N46" t="inlineStr">
        <is>
          <t>OFF-AR-10004042</t>
        </is>
      </c>
      <c r="O46" t="inlineStr">
        <is>
          <t>Office Supplies</t>
        </is>
      </c>
      <c r="P46" t="inlineStr">
        <is>
          <t>Art</t>
        </is>
      </c>
      <c r="Q46" t="inlineStr">
        <is>
          <t>Sanford Colorific Colored Pencils 12-Color Set</t>
        </is>
      </c>
      <c r="R46" s="2" t="n">
        <v>8.56</v>
      </c>
      <c r="S46" t="n">
        <v>2</v>
      </c>
      <c r="T46" t="n">
        <v>0.2</v>
      </c>
      <c r="U46" s="2" t="n">
        <v>3.852</v>
      </c>
      <c r="V46" t="n">
        <v>2015</v>
      </c>
      <c r="W46" t="n">
        <v>7</v>
      </c>
      <c r="X46" t="n">
        <v>3</v>
      </c>
      <c r="Y46" t="n">
        <v>2</v>
      </c>
      <c r="Z46" t="n">
        <v>45</v>
      </c>
      <c r="AA46" t="n">
        <v>8.56</v>
      </c>
    </row>
    <row r="47">
      <c r="A47" t="n">
        <v>46</v>
      </c>
      <c r="B47" t="inlineStr">
        <is>
          <t>CA-2016-106075</t>
        </is>
      </c>
      <c r="C47" t="inlineStr">
        <is>
          <t>2016-12-04</t>
        </is>
      </c>
      <c r="D47" t="inlineStr">
        <is>
          <t>2016-12-09</t>
        </is>
      </c>
      <c r="E47" t="inlineStr">
        <is>
          <t>Standard Class</t>
        </is>
      </c>
      <c r="F47" t="inlineStr">
        <is>
          <t>SK-20140</t>
        </is>
      </c>
      <c r="G47" t="inlineStr">
        <is>
          <t>Sandra Kirkland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Houston</t>
        </is>
      </c>
      <c r="K47" t="inlineStr">
        <is>
          <t>Texas</t>
        </is>
      </c>
      <c r="L47" t="inlineStr">
        <is>
          <t>77095</t>
        </is>
      </c>
      <c r="M47" t="inlineStr">
        <is>
          <t>South</t>
        </is>
      </c>
      <c r="N47" t="inlineStr">
        <is>
          <t>TEC-CO-10000822</t>
        </is>
      </c>
      <c r="O47" t="inlineStr">
        <is>
          <t>Technology</t>
        </is>
      </c>
      <c r="P47" t="inlineStr">
        <is>
          <t>Copiers</t>
        </is>
      </c>
      <c r="Q47" t="inlineStr">
        <is>
          <t>Canon PC1080F Personal Copier</t>
        </is>
      </c>
      <c r="R47" s="2" t="n">
        <v>1999.99</v>
      </c>
      <c r="S47" t="n">
        <v>1</v>
      </c>
      <c r="T47" t="n">
        <v>0.2</v>
      </c>
      <c r="U47" s="2" t="n">
        <v>599.997</v>
      </c>
      <c r="V47" t="n">
        <v>2016</v>
      </c>
      <c r="W47" t="n">
        <v>12</v>
      </c>
      <c r="X47" t="n">
        <v>4</v>
      </c>
      <c r="Y47" t="n">
        <v>5</v>
      </c>
      <c r="Z47" t="n">
        <v>30</v>
      </c>
      <c r="AA47" t="n">
        <v>1999.99</v>
      </c>
    </row>
    <row r="48">
      <c r="A48" t="n">
        <v>47</v>
      </c>
      <c r="B48" t="inlineStr">
        <is>
          <t>CA-2016-106075</t>
        </is>
      </c>
      <c r="C48" t="inlineStr">
        <is>
          <t>2016-12-04</t>
        </is>
      </c>
      <c r="D48" t="inlineStr">
        <is>
          <t>2016-12-09</t>
        </is>
      </c>
      <c r="E48" t="inlineStr">
        <is>
          <t>Standard Class</t>
        </is>
      </c>
      <c r="F48" t="inlineStr">
        <is>
          <t>SK-20140</t>
        </is>
      </c>
      <c r="G48" t="inlineStr">
        <is>
          <t>Sandra Kirkland</t>
        </is>
      </c>
      <c r="H48" t="inlineStr">
        <is>
          <t>Home Office</t>
        </is>
      </c>
      <c r="I48" t="inlineStr">
        <is>
          <t>United States</t>
        </is>
      </c>
      <c r="J48" t="inlineStr">
        <is>
          <t>Houston</t>
        </is>
      </c>
      <c r="K48" t="inlineStr">
        <is>
          <t>Texas</t>
        </is>
      </c>
      <c r="L48" t="inlineStr">
        <is>
          <t>77095</t>
        </is>
      </c>
      <c r="M48" t="inlineStr">
        <is>
          <t>South</t>
        </is>
      </c>
      <c r="N48" t="inlineStr">
        <is>
          <t>FUR-BO-10004834</t>
        </is>
      </c>
      <c r="O48" t="inlineStr">
        <is>
          <t>Furniture</t>
        </is>
      </c>
      <c r="P48" t="inlineStr">
        <is>
          <t>Bookcases</t>
        </is>
      </c>
      <c r="Q48" t="inlineStr">
        <is>
          <t>O'Sullivan 2-Shelf Heavy-Duty Bookcases</t>
        </is>
      </c>
      <c r="R48" s="2" t="n">
        <v>172.424</v>
      </c>
      <c r="S48" t="n">
        <v>2</v>
      </c>
      <c r="T48" t="n">
        <v>0.2</v>
      </c>
      <c r="U48" s="2" t="n">
        <v>12.0697</v>
      </c>
      <c r="V48" t="n">
        <v>2016</v>
      </c>
      <c r="W48" t="n">
        <v>12</v>
      </c>
      <c r="X48" t="n">
        <v>4</v>
      </c>
      <c r="Y48" t="n">
        <v>5</v>
      </c>
      <c r="Z48" t="n">
        <v>7</v>
      </c>
      <c r="AA48" t="n">
        <v>172.424</v>
      </c>
    </row>
    <row r="49">
      <c r="A49" t="n">
        <v>48</v>
      </c>
      <c r="B49" t="inlineStr">
        <is>
          <t>US-2015-143550</t>
        </is>
      </c>
      <c r="C49" t="inlineStr">
        <is>
          <t>2015-07-27</t>
        </is>
      </c>
      <c r="D49" t="inlineStr">
        <is>
          <t>2015-07-31</t>
        </is>
      </c>
      <c r="E49" t="inlineStr">
        <is>
          <t>Standard Class</t>
        </is>
      </c>
      <c r="F49" t="inlineStr">
        <is>
          <t>MJ-17740</t>
        </is>
      </c>
      <c r="G49" t="inlineStr">
        <is>
          <t>Michelle Jackson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Detroit</t>
        </is>
      </c>
      <c r="K49" t="inlineStr">
        <is>
          <t>Michigan</t>
        </is>
      </c>
      <c r="L49" t="inlineStr">
        <is>
          <t>48228</t>
        </is>
      </c>
      <c r="M49" t="inlineStr">
        <is>
          <t>Central</t>
        </is>
      </c>
      <c r="N49" t="inlineStr">
        <is>
          <t>OFF-BI-10004738</t>
        </is>
      </c>
      <c r="O49" t="inlineStr">
        <is>
          <t>Office Supplies</t>
        </is>
      </c>
      <c r="P49" t="inlineStr">
        <is>
          <t>Binders</t>
        </is>
      </c>
      <c r="Q49" t="inlineStr">
        <is>
          <t>Avery Durable Slant Ring Binders</t>
        </is>
      </c>
      <c r="R49" s="2" t="n">
        <v>26.32</v>
      </c>
      <c r="S49" t="n">
        <v>2</v>
      </c>
      <c r="T49" t="n">
        <v>0.2</v>
      </c>
      <c r="U49" s="2" t="n">
        <v>10.528</v>
      </c>
      <c r="V49" t="n">
        <v>2015</v>
      </c>
      <c r="W49" t="n">
        <v>7</v>
      </c>
      <c r="X49" t="n">
        <v>3</v>
      </c>
      <c r="Y49" t="n">
        <v>4</v>
      </c>
      <c r="Z49" t="n">
        <v>40</v>
      </c>
      <c r="AA49" t="n">
        <v>26.32</v>
      </c>
    </row>
    <row r="50">
      <c r="A50" t="n">
        <v>49</v>
      </c>
      <c r="B50" t="inlineStr">
        <is>
          <t>US-2015-143550</t>
        </is>
      </c>
      <c r="C50" t="inlineStr">
        <is>
          <t>2015-07-27</t>
        </is>
      </c>
      <c r="D50" t="inlineStr">
        <is>
          <t>2015-07-31</t>
        </is>
      </c>
      <c r="E50" t="inlineStr">
        <is>
          <t>Standard Class</t>
        </is>
      </c>
      <c r="F50" t="inlineStr">
        <is>
          <t>MJ-17740</t>
        </is>
      </c>
      <c r="G50" t="inlineStr">
        <is>
          <t>Michelle Jackson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Detroit</t>
        </is>
      </c>
      <c r="K50" t="inlineStr">
        <is>
          <t>Michigan</t>
        </is>
      </c>
      <c r="L50" t="inlineStr">
        <is>
          <t>48228</t>
        </is>
      </c>
      <c r="M50" t="inlineStr">
        <is>
          <t>Central</t>
        </is>
      </c>
      <c r="N50" t="inlineStr">
        <is>
          <t>TEC-PH-10000486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Panasonic KX-T7731 Integrated Phone System</t>
        </is>
      </c>
      <c r="R50" s="2" t="n">
        <v>539.98</v>
      </c>
      <c r="S50" t="n">
        <v>1</v>
      </c>
      <c r="T50" t="n">
        <v>0.2</v>
      </c>
      <c r="U50" s="2" t="n">
        <v>161.994</v>
      </c>
      <c r="V50" t="n">
        <v>2015</v>
      </c>
      <c r="W50" t="n">
        <v>7</v>
      </c>
      <c r="X50" t="n">
        <v>3</v>
      </c>
      <c r="Y50" t="n">
        <v>4</v>
      </c>
      <c r="Z50" t="n">
        <v>30</v>
      </c>
      <c r="AA50" t="n">
        <v>539.98</v>
      </c>
    </row>
    <row r="51">
      <c r="A51" t="n">
        <v>50</v>
      </c>
      <c r="B51" t="inlineStr">
        <is>
          <t>CA-2014-152223</t>
        </is>
      </c>
      <c r="C51" t="inlineStr">
        <is>
          <t>2014-05-30</t>
        </is>
      </c>
      <c r="D51" t="inlineStr">
        <is>
          <t>2014-06-03</t>
        </is>
      </c>
      <c r="E51" t="inlineStr">
        <is>
          <t>Standard Class</t>
        </is>
      </c>
      <c r="F51" t="inlineStr">
        <is>
          <t>MS-17920</t>
        </is>
      </c>
      <c r="G51" t="inlineStr">
        <is>
          <t>Mark Stevenson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Oakland</t>
        </is>
      </c>
      <c r="K51" t="inlineStr">
        <is>
          <t>California</t>
        </is>
      </c>
      <c r="L51" t="inlineStr">
        <is>
          <t>94609</t>
        </is>
      </c>
      <c r="M51" t="inlineStr">
        <is>
          <t>West</t>
        </is>
      </c>
      <c r="N51" t="inlineStr">
        <is>
          <t>OFF-ST-10004123</t>
        </is>
      </c>
      <c r="O51" t="inlineStr">
        <is>
          <t>Office Supplies</t>
        </is>
      </c>
      <c r="P51" t="inlineStr">
        <is>
          <t>Storage</t>
        </is>
      </c>
      <c r="Q51" t="inlineStr">
        <is>
          <t>Smead Lockit Folder Two Fasteners 1/3 Cut Top Tab Letter</t>
        </is>
      </c>
      <c r="R51" s="2" t="n">
        <v>73.12</v>
      </c>
      <c r="S51" t="n">
        <v>4</v>
      </c>
      <c r="T51" t="n">
        <v>0.2</v>
      </c>
      <c r="U51" s="2" t="n">
        <v>14.624</v>
      </c>
      <c r="V51" t="n">
        <v>2014</v>
      </c>
      <c r="W51" t="n">
        <v>5</v>
      </c>
      <c r="X51" t="n">
        <v>2</v>
      </c>
      <c r="Y51" t="n">
        <v>4</v>
      </c>
      <c r="Z51" t="n">
        <v>20</v>
      </c>
      <c r="AA51" t="n">
        <v>73.12</v>
      </c>
    </row>
  </sheetData>
  <autoFilter ref="A1:AA5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5.7109375" customWidth="1" min="1" max="1"/>
    <col width="20.7109375" customWidth="1" min="2" max="2"/>
  </cols>
  <sheetData>
    <row r="1">
      <c r="A1" s="3" t="inlineStr">
        <is>
          <t>GLOBAL SUPERSTORE - EXECUTIVE DASHBOARD</t>
        </is>
      </c>
    </row>
    <row r="2">
      <c r="A2" t="inlineStr">
        <is>
          <t>Report Date: February 16, 2026</t>
        </is>
      </c>
    </row>
    <row r="5">
      <c r="A5" s="1" t="inlineStr">
        <is>
          <t>KEY PERFORMANCE INDICATORS</t>
        </is>
      </c>
    </row>
    <row r="6">
      <c r="A6" s="1" t="inlineStr">
        <is>
          <t>Total Sales</t>
        </is>
      </c>
      <c r="B6" s="2">
        <f>SUM('Raw Data'!R:R)</f>
        <v/>
      </c>
    </row>
    <row r="7">
      <c r="A7" s="1" t="inlineStr">
        <is>
          <t>Total Profit</t>
        </is>
      </c>
      <c r="B7" s="2">
        <f>SUM('Raw Data'!U:U)</f>
        <v/>
      </c>
    </row>
    <row r="8">
      <c r="A8" s="1" t="inlineStr">
        <is>
          <t>Overall Profit Margin</t>
        </is>
      </c>
      <c r="B8" s="6">
        <f>IFERROR(B7/B6,0)</f>
        <v/>
      </c>
    </row>
    <row r="9">
      <c r="A9" s="1" t="inlineStr">
        <is>
          <t>Total Orders</t>
        </is>
      </c>
      <c r="B9" s="7">
        <f>COUNTA('Raw Data'!B:B)-1</f>
        <v/>
      </c>
    </row>
    <row r="10">
      <c r="A10" s="1" t="inlineStr">
        <is>
          <t>Average Order Value</t>
        </is>
      </c>
      <c r="B10" s="2">
        <f>IFERROR(B6/B9,0)</f>
        <v/>
      </c>
    </row>
    <row r="13">
      <c r="A13" s="1" t="inlineStr">
        <is>
          <t>SALES BY CATEGORY</t>
        </is>
      </c>
      <c r="B13" s="1" t="inlineStr">
        <is>
          <t>Sales</t>
        </is>
      </c>
      <c r="C13" s="1" t="inlineStr">
        <is>
          <t>Profit</t>
        </is>
      </c>
      <c r="D13" s="1" t="inlineStr">
        <is>
          <t>Margin %</t>
        </is>
      </c>
    </row>
    <row r="14">
      <c r="A14" t="inlineStr">
        <is>
          <t>Furniture</t>
        </is>
      </c>
      <c r="B14" s="2">
        <f>SUMIF('Raw Data'!O:O,A14,'Raw Data'!R:R)</f>
        <v/>
      </c>
      <c r="C14" s="2">
        <f>SUMIF('Raw Data'!O:O,A14,'Raw Data'!U:U)</f>
        <v/>
      </c>
      <c r="D14" s="6">
        <f>C14/B14</f>
        <v/>
      </c>
    </row>
    <row r="15">
      <c r="A15" t="inlineStr">
        <is>
          <t>Office Supplies</t>
        </is>
      </c>
      <c r="B15" s="2">
        <f>SUMIF('Raw Data'!O:O,A15,'Raw Data'!R:R)</f>
        <v/>
      </c>
      <c r="C15" s="2">
        <f>SUMIF('Raw Data'!O:O,A15,'Raw Data'!U:U)</f>
        <v/>
      </c>
      <c r="D15" s="6">
        <f>C15/B15</f>
        <v/>
      </c>
    </row>
    <row r="16">
      <c r="A16" t="inlineStr">
        <is>
          <t>Technology</t>
        </is>
      </c>
      <c r="B16" s="2">
        <f>SUMIF('Raw Data'!O:O,A16,'Raw Data'!R:R)</f>
        <v/>
      </c>
      <c r="C16" s="2">
        <f>SUMIF('Raw Data'!O:O,A16,'Raw Data'!U:U)</f>
        <v/>
      </c>
      <c r="D16" s="6">
        <f>C16/B16</f>
        <v/>
      </c>
    </row>
    <row r="19">
      <c r="A19" s="1" t="inlineStr">
        <is>
          <t>SALES BY REGION</t>
        </is>
      </c>
      <c r="B19" s="1" t="inlineStr">
        <is>
          <t>Sales</t>
        </is>
      </c>
      <c r="C19" s="1" t="inlineStr">
        <is>
          <t>Profit</t>
        </is>
      </c>
    </row>
    <row r="20">
      <c r="A20" t="inlineStr">
        <is>
          <t>Africa</t>
        </is>
      </c>
      <c r="B20" s="2">
        <f>SUMIF('Raw Data'!M:M,A20,'Raw Data'!R:R)</f>
        <v/>
      </c>
      <c r="C20" s="2">
        <f>SUMIF('Raw Data'!M:M,A20,'Raw Data'!U:U)</f>
        <v/>
      </c>
    </row>
    <row r="21">
      <c r="A21" t="inlineStr">
        <is>
          <t>Asia</t>
        </is>
      </c>
      <c r="B21" s="2">
        <f>SUMIF('Raw Data'!M:M,A21,'Raw Data'!R:R)</f>
        <v/>
      </c>
      <c r="C21" s="2">
        <f>SUMIF('Raw Data'!M:M,A21,'Raw Data'!U:U)</f>
        <v/>
      </c>
    </row>
    <row r="22">
      <c r="A22" t="inlineStr">
        <is>
          <t>Central</t>
        </is>
      </c>
      <c r="B22" s="2">
        <f>SUMIF('Raw Data'!M:M,A22,'Raw Data'!R:R)</f>
        <v/>
      </c>
      <c r="C22" s="2">
        <f>SUMIF('Raw Data'!M:M,A22,'Raw Data'!U:U)</f>
        <v/>
      </c>
    </row>
    <row r="23">
      <c r="A23" t="inlineStr">
        <is>
          <t>East</t>
        </is>
      </c>
      <c r="B23" s="2">
        <f>SUMIF('Raw Data'!M:M,A23,'Raw Data'!R:R)</f>
        <v/>
      </c>
      <c r="C23" s="2">
        <f>SUMIF('Raw Data'!M:M,A23,'Raw Data'!U:U)</f>
        <v/>
      </c>
    </row>
    <row r="24">
      <c r="A24" t="inlineStr">
        <is>
          <t>Europe</t>
        </is>
      </c>
      <c r="B24" s="2">
        <f>SUMIF('Raw Data'!M:M,A24,'Raw Data'!R:R)</f>
        <v/>
      </c>
      <c r="C24" s="2">
        <f>SUMIF('Raw Data'!M:M,A24,'Raw Data'!U:U)</f>
        <v/>
      </c>
    </row>
    <row r="25">
      <c r="A25" t="inlineStr">
        <is>
          <t>LATAM</t>
        </is>
      </c>
      <c r="B25" s="2">
        <f>SUMIF('Raw Data'!M:M,A25,'Raw Data'!R:R)</f>
        <v/>
      </c>
      <c r="C25" s="2">
        <f>SUMIF('Raw Data'!M:M,A25,'Raw Data'!U:U)</f>
        <v/>
      </c>
    </row>
    <row r="26">
      <c r="A26" t="inlineStr">
        <is>
          <t>Oceania</t>
        </is>
      </c>
      <c r="B26" s="2">
        <f>SUMIF('Raw Data'!M:M,A26,'Raw Data'!R:R)</f>
        <v/>
      </c>
      <c r="C26" s="2">
        <f>SUMIF('Raw Data'!M:M,A26,'Raw Data'!U:U)</f>
        <v/>
      </c>
    </row>
    <row r="27">
      <c r="A27" t="inlineStr">
        <is>
          <t>South</t>
        </is>
      </c>
      <c r="B27" s="2">
        <f>SUMIF('Raw Data'!M:M,A27,'Raw Data'!R:R)</f>
        <v/>
      </c>
      <c r="C27" s="2">
        <f>SUMIF('Raw Data'!M:M,A27,'Raw Data'!U:U)</f>
        <v/>
      </c>
    </row>
    <row r="28">
      <c r="A28" t="inlineStr">
        <is>
          <t>West</t>
        </is>
      </c>
      <c r="B28" s="2">
        <f>SUMIF('Raw Data'!M:M,A28,'Raw Data'!R:R)</f>
        <v/>
      </c>
      <c r="C28" s="2">
        <f>SUMIF('Raw Data'!M:M,A28,'Raw Data'!U:U)</f>
        <v/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.7109375" customWidth="1" min="1" max="1"/>
    <col width="15.7109375" customWidth="1" min="2" max="5"/>
  </cols>
  <sheetData>
    <row r="1">
      <c r="A1" s="3" t="inlineStr">
        <is>
          <t>CATEGORY PERFORMANCE ANALYSIS</t>
        </is>
      </c>
    </row>
    <row r="3">
      <c r="A3" s="1" t="inlineStr">
        <is>
          <t>Category</t>
        </is>
      </c>
      <c r="B3" s="1" t="inlineStr">
        <is>
          <t>Total Sales</t>
        </is>
      </c>
      <c r="C3" s="1" t="inlineStr">
        <is>
          <t>Total Profit</t>
        </is>
      </c>
      <c r="D3" s="1" t="inlineStr">
        <is>
          <t>Profit Margin %</t>
        </is>
      </c>
      <c r="E3" s="1" t="inlineStr">
        <is>
          <t>Number of Orders</t>
        </is>
      </c>
    </row>
    <row r="5">
      <c r="A5" t="inlineStr">
        <is>
          <t>Technology</t>
        </is>
      </c>
      <c r="B5" s="2" t="n">
        <v>9249.32</v>
      </c>
      <c r="C5" s="2" t="n">
        <v>2123.76</v>
      </c>
      <c r="D5" s="6" t="n">
        <v>0.2296</v>
      </c>
      <c r="E5" s="7" t="n">
        <v>14</v>
      </c>
    </row>
    <row r="6">
      <c r="A6" t="inlineStr">
        <is>
          <t>Furniture</t>
        </is>
      </c>
      <c r="B6" s="2" t="n">
        <v>6207.51</v>
      </c>
      <c r="C6" s="2" t="n">
        <v>-2272.13</v>
      </c>
      <c r="D6" s="6" t="n">
        <v>-0.366</v>
      </c>
      <c r="E6" s="7" t="n">
        <v>9</v>
      </c>
    </row>
    <row r="7">
      <c r="A7" t="inlineStr">
        <is>
          <t>Office Supplies</t>
        </is>
      </c>
      <c r="B7" s="2" t="n">
        <v>1426.06</v>
      </c>
      <c r="C7" s="2" t="n">
        <v>409.2</v>
      </c>
      <c r="D7" s="6" t="n">
        <v>0.2869</v>
      </c>
      <c r="E7" s="7" t="n">
        <v>23</v>
      </c>
    </row>
    <row r="12">
      <c r="A12" s="3" t="inlineStr">
        <is>
          <t>REGIONAL PERFORMANCE ANALYSIS</t>
        </is>
      </c>
    </row>
    <row r="14">
      <c r="A14" s="1" t="inlineStr">
        <is>
          <t>Region</t>
        </is>
      </c>
      <c r="B14" s="1" t="inlineStr">
        <is>
          <t>Total Sales</t>
        </is>
      </c>
      <c r="C14" s="1" t="inlineStr">
        <is>
          <t>Total Profit</t>
        </is>
      </c>
      <c r="D14" s="1" t="inlineStr">
        <is>
          <t>Profit Margin %</t>
        </is>
      </c>
    </row>
    <row r="16">
      <c r="A16" t="inlineStr">
        <is>
          <t>South</t>
        </is>
      </c>
      <c r="B16" s="2" t="n">
        <v>5606.82</v>
      </c>
      <c r="C16" s="2" t="n">
        <v>182.28</v>
      </c>
      <c r="D16" s="6" t="n">
        <v>0.0325</v>
      </c>
    </row>
    <row r="17">
      <c r="A17" t="inlineStr">
        <is>
          <t>Asia</t>
        </is>
      </c>
      <c r="B17" s="2" t="n">
        <v>4167.73</v>
      </c>
      <c r="C17" s="2" t="n">
        <v>-1418.31</v>
      </c>
      <c r="D17" s="6" t="n">
        <v>-0.3403</v>
      </c>
    </row>
    <row r="18">
      <c r="A18" t="inlineStr">
        <is>
          <t>LATAM</t>
        </is>
      </c>
      <c r="B18" s="2" t="n">
        <v>2323.47</v>
      </c>
      <c r="C18" s="2" t="n">
        <v>649.47</v>
      </c>
      <c r="D18" s="6" t="n">
        <v>0.2795</v>
      </c>
    </row>
    <row r="19">
      <c r="A19" t="inlineStr">
        <is>
          <t>West</t>
        </is>
      </c>
      <c r="B19" s="2" t="n">
        <v>1295.45</v>
      </c>
      <c r="C19" s="2" t="n">
        <v>179.66</v>
      </c>
      <c r="D19" s="6" t="n">
        <v>0.1387</v>
      </c>
    </row>
    <row r="20">
      <c r="A20" t="inlineStr">
        <is>
          <t>Central</t>
        </is>
      </c>
      <c r="B20" s="2" t="n">
        <v>1144.39</v>
      </c>
      <c r="C20" s="2" t="n">
        <v>267.89</v>
      </c>
      <c r="D20" s="6" t="n">
        <v>0.2341</v>
      </c>
    </row>
    <row r="21">
      <c r="A21" t="inlineStr">
        <is>
          <t>Africa</t>
        </is>
      </c>
      <c r="B21" s="2" t="n">
        <v>1132.6</v>
      </c>
      <c r="C21" s="2" t="n">
        <v>208.89</v>
      </c>
      <c r="D21" s="6" t="n">
        <v>0.1844</v>
      </c>
    </row>
    <row r="22">
      <c r="A22" t="inlineStr">
        <is>
          <t>East</t>
        </is>
      </c>
      <c r="B22" s="2" t="n">
        <v>949.9</v>
      </c>
      <c r="C22" s="2" t="n">
        <v>79.68000000000001</v>
      </c>
      <c r="D22" s="6" t="n">
        <v>0.0839</v>
      </c>
    </row>
    <row r="23">
      <c r="A23" t="inlineStr">
        <is>
          <t>Europe</t>
        </is>
      </c>
      <c r="B23" s="2" t="n">
        <v>255.39</v>
      </c>
      <c r="C23" s="2" t="n">
        <v>108.13</v>
      </c>
      <c r="D23" s="6" t="n">
        <v>0.4234000000000001</v>
      </c>
    </row>
    <row r="24">
      <c r="A24" t="inlineStr">
        <is>
          <t>Oceania</t>
        </is>
      </c>
      <c r="B24" s="2" t="n">
        <v>7.14</v>
      </c>
      <c r="C24" s="2" t="n">
        <v>3.14</v>
      </c>
      <c r="D24" s="6" t="n">
        <v>0.4398</v>
      </c>
    </row>
  </sheetData>
  <mergeCells count="2">
    <mergeCell ref="A12:D12"/>
    <mergeCell ref="A1:E1"/>
  </mergeCells>
  <conditionalFormatting sqref="C4:C10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0.7109375" customWidth="1" min="1" max="1"/>
    <col width="15.7109375" customWidth="1" min="2" max="4"/>
  </cols>
  <sheetData>
    <row r="1">
      <c r="A1" s="3" t="inlineStr">
        <is>
          <t>PROFITABILITY ANALYSIS</t>
        </is>
      </c>
    </row>
    <row r="3">
      <c r="A3" s="1" t="inlineStr">
        <is>
          <t>TOP PRODUCTS BY REVENUE (sorted by sales)</t>
        </is>
      </c>
    </row>
    <row r="4">
      <c r="A4" s="1" t="inlineStr">
        <is>
          <t>Product Name</t>
        </is>
      </c>
      <c r="B4" s="1" t="inlineStr">
        <is>
          <t>Total Sales</t>
        </is>
      </c>
      <c r="C4" s="1" t="inlineStr">
        <is>
          <t>Total Profit</t>
        </is>
      </c>
      <c r="D4" s="1" t="inlineStr">
        <is>
          <t>Profit Margin %</t>
        </is>
      </c>
    </row>
    <row r="6">
      <c r="A6" t="inlineStr">
        <is>
          <t>Bush Advantage Collection Racetrack Conference Table</t>
        </is>
      </c>
      <c r="B6" s="2" t="n">
        <v>2573.82</v>
      </c>
      <c r="C6" s="2" t="n">
        <v>-1716.81</v>
      </c>
      <c r="D6" s="6" t="n">
        <v>-0.6670279972958482</v>
      </c>
    </row>
    <row r="7">
      <c r="A7" t="inlineStr">
        <is>
          <t>Canon imageCLASS 2200 Advanced Copier</t>
        </is>
      </c>
      <c r="B7" s="2" t="n">
        <v>1999.99</v>
      </c>
      <c r="C7" s="2" t="n">
        <v>600</v>
      </c>
      <c r="D7" s="6" t="n">
        <v>0.3000015000075</v>
      </c>
    </row>
    <row r="8">
      <c r="A8" t="inlineStr">
        <is>
          <t>Canon PC1080F Personal Copier</t>
        </is>
      </c>
      <c r="B8" s="2" t="n">
        <v>1999.99</v>
      </c>
      <c r="C8" s="2" t="n">
        <v>600</v>
      </c>
      <c r="D8" s="6" t="n">
        <v>0.3000015000075</v>
      </c>
    </row>
    <row r="9">
      <c r="A9" t="inlineStr">
        <is>
          <t>Cisco SPA525G2 5-Line IP Phone</t>
        </is>
      </c>
      <c r="B9" s="2" t="n">
        <v>1097.54</v>
      </c>
      <c r="C9" s="2" t="n">
        <v>219.51</v>
      </c>
      <c r="D9" s="6" t="n">
        <v>0.2000018222570476</v>
      </c>
    </row>
    <row r="10">
      <c r="A10" t="inlineStr">
        <is>
          <t>HON 94000 Series Round Tables</t>
        </is>
      </c>
      <c r="B10" s="2" t="n">
        <v>1044.63</v>
      </c>
      <c r="C10" s="2" t="n">
        <v>-418.93</v>
      </c>
      <c r="D10" s="6" t="n">
        <v>-0.4010319443247848</v>
      </c>
    </row>
    <row r="11">
      <c r="A11" t="inlineStr">
        <is>
          <t>Bretford CR4500 Series Slim Rectangular Table</t>
        </is>
      </c>
      <c r="B11" s="2" t="n">
        <v>957.58</v>
      </c>
      <c r="C11" s="2" t="n">
        <v>-383.03</v>
      </c>
      <c r="D11" s="6" t="n">
        <v>-0.3999979114016583</v>
      </c>
    </row>
    <row r="12">
      <c r="A12" t="inlineStr">
        <is>
          <t>Cisco SPA 501G IP Phone</t>
        </is>
      </c>
      <c r="B12" s="2" t="n">
        <v>911.42</v>
      </c>
      <c r="C12" s="2" t="n">
        <v>68.36</v>
      </c>
      <c r="D12" s="6" t="n">
        <v>0.07500384016150623</v>
      </c>
    </row>
    <row r="13">
      <c r="A13" t="inlineStr">
        <is>
          <t>Mitel 5320 IP Phone VoIP phone</t>
        </is>
      </c>
      <c r="B13" s="2" t="n">
        <v>907.15</v>
      </c>
      <c r="C13" s="2" t="n">
        <v>90.72</v>
      </c>
      <c r="D13" s="6" t="n">
        <v>0.1000055117676239</v>
      </c>
    </row>
    <row r="14">
      <c r="A14" t="inlineStr">
        <is>
          <t>Hon Deluxe Fabric Upholstered Stacking Chairs</t>
        </is>
      </c>
      <c r="B14" s="2" t="n">
        <v>731.9400000000001</v>
      </c>
      <c r="C14" s="2" t="n">
        <v>219.58</v>
      </c>
      <c r="D14" s="6" t="n">
        <v>0.2999972675355904</v>
      </c>
    </row>
    <row r="15">
      <c r="A15" t="inlineStr">
        <is>
          <t>Ativa V4110MDD Micro-Cut Shredder</t>
        </is>
      </c>
      <c r="B15" s="2" t="n">
        <v>599.99</v>
      </c>
      <c r="C15" s="2" t="n">
        <v>180</v>
      </c>
      <c r="D15" s="6" t="n">
        <v>0.3000050000833347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.7109375" customWidth="1" min="1" max="1"/>
    <col width="50.7109375" customWidth="1" min="2" max="2"/>
    <col width="20.7109375" customWidth="1" min="3" max="3"/>
  </cols>
  <sheetData>
    <row r="1">
      <c r="A1" s="3" t="inlineStr">
        <is>
          <t>ADVANCED EXCEL FORMULAS EXAMPLES</t>
        </is>
      </c>
    </row>
    <row r="4">
      <c r="A4" s="1" t="inlineStr">
        <is>
          <t>CALCULATION TYPE</t>
        </is>
      </c>
      <c r="B4" s="1" t="inlineStr">
        <is>
          <t>FORMULA</t>
        </is>
      </c>
      <c r="C4" s="1" t="inlineStr">
        <is>
          <t>RESULT</t>
        </is>
      </c>
    </row>
    <row r="5">
      <c r="A5" t="inlineStr">
        <is>
          <t>Total Sales (SUMIF by Category)</t>
        </is>
      </c>
      <c r="B5">
        <f>SUMIF('Raw Data'!O:O,"Technology",'Raw Data'!R:R)</f>
        <v/>
      </c>
      <c r="C5" s="2">
        <f>SUMIF('Raw Data'!O:O,"Technology",'Raw Data'!R:R)</f>
        <v/>
      </c>
    </row>
    <row r="6">
      <c r="A6" t="inlineStr">
        <is>
          <t>Average Order Value</t>
        </is>
      </c>
      <c r="B6">
        <f t="array" ref="B6">SUM('Raw Data'!R:R)/COUNTA(_xlfn.UNIQUE('Raw Data'!B:B))</f>
        <v/>
      </c>
      <c r="C6" s="2">
        <f>SUM('Raw Data'!R:R)/(COUNTA('Raw Data'!B:B)-1)</f>
        <v/>
      </c>
    </row>
    <row r="7">
      <c r="A7" t="inlineStr">
        <is>
          <t>Profit Margin %</t>
        </is>
      </c>
      <c r="B7">
        <f>SUM(Profit)/SUM(Sales)</f>
        <v/>
      </c>
      <c r="C7" s="6">
        <f>SUM('Raw Data'!U:U)/SUM('Raw Data'!R:R)</f>
        <v/>
      </c>
    </row>
    <row r="8">
      <c r="A8" t="inlineStr">
        <is>
          <t>Count of Orders (Technology)</t>
        </is>
      </c>
      <c r="B8">
        <f>COUNTIF('Raw Data'!O:O,"Technology")</f>
        <v/>
      </c>
      <c r="C8" s="7">
        <f>COUNTIF('Raw Data'!O:O,"Technology")</f>
        <v/>
      </c>
    </row>
    <row r="9">
      <c r="A9" t="inlineStr">
        <is>
          <t>Maximum Sales Value</t>
        </is>
      </c>
      <c r="B9">
        <f>MAX('Raw Data'!R:R)</f>
        <v/>
      </c>
      <c r="C9" s="2">
        <f>MAX('Raw Data'!R:R)</f>
        <v/>
      </c>
    </row>
    <row r="10">
      <c r="A10" t="inlineStr">
        <is>
          <t>Minimum Profit Value</t>
        </is>
      </c>
      <c r="B10">
        <f>MIN('Raw Data'!U:U)</f>
        <v/>
      </c>
      <c r="C10" s="2">
        <f>MIN('Raw Data'!U:U)</f>
        <v/>
      </c>
    </row>
    <row r="12">
      <c r="A12" s="1" t="inlineStr">
        <is>
          <t>VLOOKUP EXAMPLES</t>
        </is>
      </c>
    </row>
    <row r="13">
      <c r="A13" s="1" t="inlineStr">
        <is>
          <t>Enter Order ID:</t>
        </is>
      </c>
      <c r="B13" t="inlineStr">
        <is>
          <t>CA-2016-152156</t>
        </is>
      </c>
    </row>
    <row r="14">
      <c r="A14" t="inlineStr">
        <is>
          <t>Customer Name:</t>
        </is>
      </c>
      <c r="B14">
        <f>IFERROR(INDEX('Raw Data'!G:G,MATCH(B13,'Raw Data'!B:B,0)),"Not Found")</f>
        <v/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80.7109375" customWidth="1" min="1" max="1"/>
  </cols>
  <sheetData>
    <row r="1">
      <c r="A1" s="3" t="inlineStr">
        <is>
          <t>HOW TO USE THIS WORKBOOK</t>
        </is>
      </c>
    </row>
    <row r="4">
      <c r="A4" s="1" t="inlineStr">
        <is>
          <t>SHEET DESCRIPTIONS:</t>
        </is>
      </c>
    </row>
    <row r="6">
      <c r="A6" t="inlineStr">
        <is>
          <t>1. Raw Data - Complete dataset with all sales transactions</t>
        </is>
      </c>
    </row>
    <row r="7">
      <c r="A7" t="inlineStr">
        <is>
          <t xml:space="preserve">   • Use filters to explore specific segments</t>
        </is>
      </c>
    </row>
    <row r="8">
      <c r="A8" t="inlineStr">
        <is>
          <t xml:space="preserve">   • All formulas in other sheets reference this data</t>
        </is>
      </c>
    </row>
    <row r="10">
      <c r="A10" t="inlineStr">
        <is>
          <t>2. Executive Summary - High-level KPIs and metrics</t>
        </is>
      </c>
    </row>
    <row r="11">
      <c r="A11" t="inlineStr">
        <is>
          <t xml:space="preserve">   • Auto-calculated from Raw Data using SUMIF and other formulas</t>
        </is>
      </c>
    </row>
    <row r="12">
      <c r="A12" t="inlineStr">
        <is>
          <t xml:space="preserve">   • Perfect for quick business overview</t>
        </is>
      </c>
    </row>
    <row r="14">
      <c r="A14" t="inlineStr">
        <is>
          <t>3. Sales Analysis - Detailed breakdown by category and region</t>
        </is>
      </c>
    </row>
    <row r="15">
      <c r="A15" t="inlineStr">
        <is>
          <t xml:space="preserve">   • Conditional formatting highlights profitable/unprofitable areas</t>
        </is>
      </c>
    </row>
    <row r="17">
      <c r="A17" t="inlineStr">
        <is>
          <t>4. Profitability Analysis - Product-level profit analysis</t>
        </is>
      </c>
    </row>
    <row r="18">
      <c r="A18" t="inlineStr">
        <is>
          <t xml:space="preserve">   • Identifies top performing and underperforming products</t>
        </is>
      </c>
    </row>
    <row r="20">
      <c r="A20" t="inlineStr">
        <is>
          <t>5. Advanced Formulas - Examples of Excel formulas used</t>
        </is>
      </c>
    </row>
    <row r="21">
      <c r="A21" t="inlineStr">
        <is>
          <t xml:space="preserve">   • SUMIF, COUNTIF, INDEX-MATCH demonstrations</t>
        </is>
      </c>
    </row>
    <row r="22">
      <c r="A22" t="inlineStr">
        <is>
          <t xml:space="preserve">   • Use as learning reference</t>
        </is>
      </c>
    </row>
    <row r="24">
      <c r="A24" s="1" t="inlineStr">
        <is>
          <t>NEXT STEPS FOR POWER BI:</t>
        </is>
      </c>
    </row>
    <row r="26">
      <c r="A26" t="inlineStr">
        <is>
          <t>1. Open Power BI Desktop</t>
        </is>
      </c>
    </row>
    <row r="27">
      <c r="A27" t="inlineStr">
        <is>
          <t>2. Get Data &gt; Excel &gt; Select "Global_Superstore_Analysis.xlsx"</t>
        </is>
      </c>
    </row>
    <row r="28">
      <c r="A28" t="inlineStr">
        <is>
          <t>3. Load the "Raw Data" sheet</t>
        </is>
      </c>
    </row>
    <row r="29">
      <c r="A29" t="inlineStr">
        <is>
          <t>4. Create relationships in the data model (if needed)</t>
        </is>
      </c>
    </row>
    <row r="30">
      <c r="A30" s="1" t="inlineStr">
        <is>
          <t>5. Build visualizations:</t>
        </is>
      </c>
    </row>
    <row r="31">
      <c r="A31" t="inlineStr">
        <is>
          <t xml:space="preserve">   • Sales trend line chart</t>
        </is>
      </c>
    </row>
    <row r="32">
      <c r="A32" t="inlineStr">
        <is>
          <t xml:space="preserve">   • Geographic map of sales by region</t>
        </is>
      </c>
    </row>
    <row r="33">
      <c r="A33" t="inlineStr">
        <is>
          <t xml:space="preserve">   • Category breakdown pie chart</t>
        </is>
      </c>
    </row>
    <row r="34">
      <c r="A34" t="inlineStr">
        <is>
          <t xml:space="preserve">   • Profit margin by segment</t>
        </is>
      </c>
    </row>
    <row r="36">
      <c r="A36" s="1" t="inlineStr">
        <is>
          <t>PIVOT TABLE RECOMMENDATIONS:</t>
        </is>
      </c>
    </row>
    <row r="38">
      <c r="A38" t="inlineStr">
        <is>
          <t>• Create pivot table from Raw Data sheet</t>
        </is>
      </c>
    </row>
    <row r="39">
      <c r="A39" t="inlineStr">
        <is>
          <t>• Rows: Category, Sub-Category</t>
        </is>
      </c>
    </row>
    <row r="40">
      <c r="A40" t="inlineStr">
        <is>
          <t>• Values: Sum of Sales, Sum of Profit</t>
        </is>
      </c>
    </row>
    <row r="41">
      <c r="A41" t="inlineStr">
        <is>
          <t>• Filters: Region, Segment, Ship Mode</t>
        </is>
      </c>
    </row>
    <row r="43">
      <c r="A43" t="inlineStr">
        <is>
          <t>For questions or support, refer to Excel documentation.</t>
        </is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2026-02-16T23:02:12Z</dcterms:created>
  <dcterms:modified xmlns:dcterms="http://purl.org/dc/terms/" xmlns:xsi="http://www.w3.org/2001/XMLSchema-instance" xsi:type="dcterms:W3CDTF">2026-02-17T16:31:10Z</dcterms:modified>
</cp:coreProperties>
</file>